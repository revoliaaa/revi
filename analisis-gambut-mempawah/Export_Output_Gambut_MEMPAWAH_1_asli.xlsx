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47A2EE4-4E64-47C8-A105-75419E07DB0F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Detail1" sheetId="5" r:id="rId1"/>
    <sheet name="Tuplah" sheetId="2" r:id="rId2"/>
    <sheet name="Tuplah (2)" sheetId="8" r:id="rId3"/>
    <sheet name="2021" sheetId="6" r:id="rId4"/>
    <sheet name="Export_Output" sheetId="1" r:id="rId5"/>
    <sheet name="Tutupan lahan" sheetId="4" r:id="rId6"/>
    <sheet name="Gambut" sheetId="3" r:id="rId7"/>
  </sheets>
  <definedNames>
    <definedName name="_xlnm.Database">Export_Output!$A$1:$U$17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8" l="1"/>
  <c r="D63" i="8"/>
  <c r="E57" i="8"/>
  <c r="D64" i="8"/>
  <c r="C69" i="8"/>
  <c r="C68" i="8"/>
  <c r="C67" i="8"/>
  <c r="B38" i="8"/>
  <c r="G47" i="8"/>
  <c r="L42" i="8"/>
  <c r="L41" i="8"/>
  <c r="P57" i="8"/>
  <c r="P58" i="8"/>
  <c r="D51" i="8"/>
  <c r="C60" i="8"/>
  <c r="D50" i="8"/>
  <c r="C50" i="8"/>
  <c r="O57" i="8"/>
  <c r="N57" i="8"/>
  <c r="M57" i="8"/>
  <c r="C58" i="8"/>
  <c r="C57" i="8"/>
  <c r="C59" i="8"/>
  <c r="D58" i="8"/>
  <c r="D59" i="8"/>
  <c r="D60" i="8"/>
  <c r="D57" i="8"/>
  <c r="D52" i="8"/>
  <c r="C51" i="8"/>
  <c r="C52" i="8" s="1"/>
  <c r="B51" i="8"/>
  <c r="B52" i="8" s="1"/>
  <c r="A51" i="8"/>
  <c r="A52" i="8" s="1"/>
  <c r="B26" i="8"/>
  <c r="E41" i="8"/>
  <c r="D41" i="8"/>
  <c r="F41" i="8"/>
  <c r="E42" i="8"/>
  <c r="E43" i="8"/>
  <c r="E44" i="8"/>
  <c r="F44" i="8" s="1"/>
  <c r="D44" i="8"/>
  <c r="D42" i="8"/>
  <c r="K31" i="8"/>
  <c r="K41" i="8" s="1"/>
  <c r="J31" i="8"/>
  <c r="J41" i="8" s="1"/>
  <c r="H31" i="8"/>
  <c r="H41" i="8" s="1"/>
  <c r="C44" i="8"/>
  <c r="F43" i="8"/>
  <c r="C43" i="8"/>
  <c r="D43" i="8" s="1"/>
  <c r="D46" i="8" s="1"/>
  <c r="C42" i="8"/>
  <c r="C41" i="8"/>
  <c r="D34" i="8"/>
  <c r="D32" i="8"/>
  <c r="D31" i="8"/>
  <c r="C34" i="8"/>
  <c r="C64" i="2"/>
  <c r="C63" i="2"/>
  <c r="C62" i="2"/>
  <c r="C65" i="2" s="1"/>
  <c r="C61" i="2"/>
  <c r="C10" i="2"/>
  <c r="C8" i="2"/>
  <c r="C31" i="8"/>
  <c r="E31" i="8"/>
  <c r="F31" i="8" s="1"/>
  <c r="G31" i="8" s="1"/>
  <c r="E34" i="8"/>
  <c r="E33" i="8"/>
  <c r="F33" i="8" s="1"/>
  <c r="E32" i="8"/>
  <c r="F32" i="8" s="1"/>
  <c r="E64" i="2"/>
  <c r="F34" i="8"/>
  <c r="B23" i="8"/>
  <c r="B19" i="8"/>
  <c r="C33" i="8"/>
  <c r="D33" i="8" s="1"/>
  <c r="C32" i="8"/>
  <c r="B48" i="2"/>
  <c r="D64" i="2"/>
  <c r="E63" i="2"/>
  <c r="F63" i="2" s="1"/>
  <c r="D63" i="2"/>
  <c r="E62" i="2"/>
  <c r="F62" i="2" s="1"/>
  <c r="D62" i="2"/>
  <c r="E61" i="2"/>
  <c r="D61" i="2"/>
  <c r="C24" i="2"/>
  <c r="C32" i="2" s="1"/>
  <c r="C40" i="2" s="1"/>
  <c r="E53" i="2"/>
  <c r="F53" i="2" s="1"/>
  <c r="C26" i="2"/>
  <c r="E54" i="2"/>
  <c r="F54" i="2" s="1"/>
  <c r="C25" i="2"/>
  <c r="E55" i="2"/>
  <c r="F55" i="2" s="1"/>
  <c r="D56" i="2"/>
  <c r="C19" i="2"/>
  <c r="D54" i="2"/>
  <c r="C17" i="2"/>
  <c r="D53" i="2"/>
  <c r="C18" i="2"/>
  <c r="C16" i="2"/>
  <c r="C56" i="2"/>
  <c r="C55" i="2"/>
  <c r="D55" i="2" s="1"/>
  <c r="C54" i="2"/>
  <c r="C53" i="2"/>
  <c r="C57" i="2" s="1"/>
  <c r="B10" i="2"/>
  <c r="H3" i="3"/>
  <c r="H6" i="3"/>
  <c r="H7" i="3"/>
  <c r="G7" i="3"/>
  <c r="F7" i="3"/>
  <c r="G6" i="3"/>
  <c r="F6" i="3"/>
  <c r="E16" i="4"/>
  <c r="E15" i="4"/>
  <c r="E14" i="4"/>
  <c r="E13" i="4"/>
  <c r="E12" i="4"/>
  <c r="E6" i="3"/>
  <c r="F3" i="3"/>
  <c r="D18" i="2"/>
  <c r="D19" i="2"/>
  <c r="B19" i="2"/>
  <c r="D27" i="2"/>
  <c r="D35" i="2" s="1"/>
  <c r="D8" i="2"/>
  <c r="D26" i="2"/>
  <c r="D34" i="2" s="1"/>
  <c r="F5" i="3"/>
  <c r="F4" i="3"/>
  <c r="D10" i="2"/>
  <c r="G5" i="3"/>
  <c r="H5" i="3" s="1"/>
  <c r="G4" i="3"/>
  <c r="H4" i="3" s="1"/>
  <c r="G3" i="3"/>
  <c r="D5" i="3"/>
  <c r="D4" i="3"/>
  <c r="D3" i="3"/>
  <c r="D16" i="2"/>
  <c r="D39" i="2"/>
  <c r="C39" i="2"/>
  <c r="B39" i="2"/>
  <c r="D31" i="2"/>
  <c r="C31" i="2"/>
  <c r="F64" i="2" s="1"/>
  <c r="B31" i="2"/>
  <c r="B23" i="2"/>
  <c r="B27" i="2" s="1"/>
  <c r="B35" i="2" s="1"/>
  <c r="D23" i="2"/>
  <c r="D24" i="2" s="1"/>
  <c r="D32" i="2" s="1"/>
  <c r="C23" i="2"/>
  <c r="B18" i="2"/>
  <c r="D17" i="2"/>
  <c r="D14" i="2"/>
  <c r="C14" i="2"/>
  <c r="B14" i="2"/>
  <c r="D11" i="2"/>
  <c r="C11" i="2"/>
  <c r="B11" i="2"/>
  <c r="D9" i="2"/>
  <c r="C9" i="2"/>
  <c r="E9" i="2" s="1"/>
  <c r="C46" i="8" l="1"/>
  <c r="G44" i="8"/>
  <c r="P44" i="8" s="1"/>
  <c r="O44" i="8"/>
  <c r="G43" i="8"/>
  <c r="P43" i="8" s="1"/>
  <c r="O43" i="8"/>
  <c r="F42" i="8"/>
  <c r="F46" i="8" s="1"/>
  <c r="E46" i="8"/>
  <c r="G41" i="8"/>
  <c r="O41" i="8"/>
  <c r="D65" i="2"/>
  <c r="D36" i="8"/>
  <c r="C36" i="8"/>
  <c r="C26" i="8" s="1"/>
  <c r="G33" i="8"/>
  <c r="P33" i="8" s="1"/>
  <c r="O33" i="8"/>
  <c r="G32" i="8"/>
  <c r="E36" i="8"/>
  <c r="F36" i="8"/>
  <c r="D26" i="8" s="1"/>
  <c r="O31" i="8"/>
  <c r="G34" i="8"/>
  <c r="P34" i="8" s="1"/>
  <c r="O34" i="8"/>
  <c r="D57" i="2"/>
  <c r="E56" i="2"/>
  <c r="C27" i="2"/>
  <c r="C35" i="2"/>
  <c r="G53" i="2"/>
  <c r="N53" i="2"/>
  <c r="G54" i="2"/>
  <c r="O54" i="2" s="1"/>
  <c r="N54" i="2"/>
  <c r="G55" i="2"/>
  <c r="O55" i="2" s="1"/>
  <c r="N55" i="2"/>
  <c r="G64" i="2"/>
  <c r="O64" i="2" s="1"/>
  <c r="N64" i="2"/>
  <c r="G63" i="2"/>
  <c r="O63" i="2" s="1"/>
  <c r="N63" i="2"/>
  <c r="N62" i="2"/>
  <c r="G62" i="2"/>
  <c r="O62" i="2" s="1"/>
  <c r="E65" i="2"/>
  <c r="F61" i="2"/>
  <c r="E8" i="2"/>
  <c r="E24" i="2"/>
  <c r="B20" i="2"/>
  <c r="E10" i="2"/>
  <c r="E19" i="2"/>
  <c r="D20" i="2"/>
  <c r="D40" i="2"/>
  <c r="E40" i="2" s="1"/>
  <c r="B43" i="2"/>
  <c r="E16" i="2"/>
  <c r="E11" i="2"/>
  <c r="C20" i="2"/>
  <c r="D43" i="2"/>
  <c r="E32" i="2"/>
  <c r="E17" i="2"/>
  <c r="E27" i="2"/>
  <c r="C33" i="2"/>
  <c r="C41" i="2" s="1"/>
  <c r="D25" i="2"/>
  <c r="E25" i="2" s="1"/>
  <c r="B26" i="2"/>
  <c r="C34" i="2"/>
  <c r="C42" i="2" s="1"/>
  <c r="E18" i="2"/>
  <c r="F47" i="8" l="1"/>
  <c r="C61" i="8"/>
  <c r="O42" i="8"/>
  <c r="O46" i="8" s="1"/>
  <c r="G42" i="8"/>
  <c r="P41" i="8"/>
  <c r="O32" i="8"/>
  <c r="O36" i="8" s="1"/>
  <c r="P31" i="8"/>
  <c r="E57" i="2"/>
  <c r="F56" i="2"/>
  <c r="O53" i="2"/>
  <c r="C43" i="2"/>
  <c r="E43" i="2" s="1"/>
  <c r="E35" i="2"/>
  <c r="F65" i="2"/>
  <c r="G61" i="2"/>
  <c r="N61" i="2"/>
  <c r="N65" i="2" s="1"/>
  <c r="E12" i="2"/>
  <c r="C48" i="2" s="1"/>
  <c r="B34" i="2"/>
  <c r="B36" i="2" s="1"/>
  <c r="E26" i="2"/>
  <c r="D33" i="2"/>
  <c r="D36" i="2" s="1"/>
  <c r="C36" i="2"/>
  <c r="E20" i="2"/>
  <c r="B42" i="2"/>
  <c r="C28" i="2"/>
  <c r="B28" i="2"/>
  <c r="D61" i="8" l="1"/>
  <c r="D62" i="8" s="1"/>
  <c r="G57" i="8" s="1"/>
  <c r="H57" i="8" s="1"/>
  <c r="C62" i="8"/>
  <c r="P42" i="8"/>
  <c r="P46" i="8" s="1"/>
  <c r="Q41" i="8" s="1"/>
  <c r="Q46" i="8" s="1"/>
  <c r="G46" i="8"/>
  <c r="P32" i="8"/>
  <c r="P36" i="8" s="1"/>
  <c r="P37" i="8" s="1"/>
  <c r="Q31" i="8" s="1"/>
  <c r="Q36" i="8" s="1"/>
  <c r="R31" i="8" s="1"/>
  <c r="R36" i="8" s="1"/>
  <c r="S31" i="8" s="1"/>
  <c r="G36" i="8"/>
  <c r="E26" i="8" s="1"/>
  <c r="F57" i="2"/>
  <c r="N56" i="2"/>
  <c r="N57" i="2" s="1"/>
  <c r="G56" i="2"/>
  <c r="G65" i="2"/>
  <c r="O61" i="2"/>
  <c r="O65" i="2" s="1"/>
  <c r="P61" i="2" s="1"/>
  <c r="P65" i="2" s="1"/>
  <c r="Q61" i="2" s="1"/>
  <c r="Q65" i="2" s="1"/>
  <c r="R61" i="2" s="1"/>
  <c r="R65" i="2" s="1"/>
  <c r="S61" i="2" s="1"/>
  <c r="E33" i="2"/>
  <c r="D41" i="2"/>
  <c r="E41" i="2" s="1"/>
  <c r="D42" i="2"/>
  <c r="D28" i="2"/>
  <c r="I57" i="8" l="1"/>
  <c r="H60" i="8"/>
  <c r="R41" i="8"/>
  <c r="R46" i="8" s="1"/>
  <c r="S41" i="8" s="1"/>
  <c r="S46" i="8" s="1"/>
  <c r="T41" i="8" s="1"/>
  <c r="S36" i="8"/>
  <c r="T31" i="8" s="1"/>
  <c r="G57" i="2"/>
  <c r="O56" i="2"/>
  <c r="O57" i="2" s="1"/>
  <c r="P53" i="2" s="1"/>
  <c r="P57" i="2" s="1"/>
  <c r="Q53" i="2" s="1"/>
  <c r="Q57" i="2" s="1"/>
  <c r="R53" i="2" s="1"/>
  <c r="R57" i="2" s="1"/>
  <c r="S53" i="2" s="1"/>
  <c r="V61" i="2"/>
  <c r="V65" i="2" s="1"/>
  <c r="T61" i="2"/>
  <c r="T65" i="2" s="1"/>
  <c r="W61" i="2"/>
  <c r="W65" i="2" s="1"/>
  <c r="S65" i="2"/>
  <c r="U61" i="2"/>
  <c r="U65" i="2" s="1"/>
  <c r="E42" i="2"/>
  <c r="E44" i="2" s="1"/>
  <c r="E48" i="2" s="1"/>
  <c r="E49" i="2" s="1"/>
  <c r="E34" i="2"/>
  <c r="E36" i="2" s="1"/>
  <c r="D48" i="2" s="1"/>
  <c r="D49" i="2" s="1"/>
  <c r="I60" i="8" l="1"/>
  <c r="L60" i="8"/>
  <c r="J57" i="8"/>
  <c r="K57" i="8"/>
  <c r="L57" i="8"/>
  <c r="J60" i="8"/>
  <c r="K60" i="8"/>
  <c r="X31" i="8"/>
  <c r="X36" i="8" s="1"/>
  <c r="U31" i="8"/>
  <c r="U36" i="8" s="1"/>
  <c r="T36" i="8"/>
  <c r="V31" i="8"/>
  <c r="V36" i="8" s="1"/>
  <c r="W31" i="8"/>
  <c r="W36" i="8" s="1"/>
  <c r="V41" i="8"/>
  <c r="V46" i="8" s="1"/>
  <c r="X41" i="8"/>
  <c r="X46" i="8" s="1"/>
  <c r="W41" i="8"/>
  <c r="W46" i="8" s="1"/>
  <c r="T46" i="8"/>
  <c r="U41" i="8"/>
  <c r="U46" i="8" s="1"/>
  <c r="S57" i="2"/>
  <c r="V53" i="2"/>
  <c r="V57" i="2" s="1"/>
  <c r="U53" i="2"/>
  <c r="U57" i="2" s="1"/>
  <c r="T53" i="2"/>
  <c r="T57" i="2" s="1"/>
  <c r="W53" i="2"/>
  <c r="W57" i="2" s="1"/>
</calcChain>
</file>

<file path=xl/sharedStrings.xml><?xml version="1.0" encoding="utf-8"?>
<sst xmlns="http://schemas.openxmlformats.org/spreadsheetml/2006/main" count="896" uniqueCount="150">
  <si>
    <t>OBJECTID_1</t>
  </si>
  <si>
    <t>FID_Tuplah</t>
  </si>
  <si>
    <t>OBJECTID</t>
  </si>
  <si>
    <t>KODE_PROV</t>
  </si>
  <si>
    <t>PL2022_ID</t>
  </si>
  <si>
    <t>FOLDER</t>
  </si>
  <si>
    <t>deskripsi</t>
  </si>
  <si>
    <t>simbol</t>
  </si>
  <si>
    <t>LUAS</t>
  </si>
  <si>
    <t>FID_Kedala</t>
  </si>
  <si>
    <t>OBJECTID_2</t>
  </si>
  <si>
    <t>JENIS_GAMB</t>
  </si>
  <si>
    <t>KEDALAMAN</t>
  </si>
  <si>
    <t>NAMA_KHG</t>
  </si>
  <si>
    <t>KODE_KHG</t>
  </si>
  <si>
    <t>FEG_KGHLTR</t>
  </si>
  <si>
    <t>L_1</t>
  </si>
  <si>
    <t>Shape_Leng</t>
  </si>
  <si>
    <t>ha</t>
  </si>
  <si>
    <t>Shape_Le_1</t>
  </si>
  <si>
    <t>Shape_Area</t>
  </si>
  <si>
    <t>PL2022_AR_250K</t>
  </si>
  <si>
    <t>Perkebunan</t>
  </si>
  <si>
    <t>Pk</t>
  </si>
  <si>
    <t>GAMBUT</t>
  </si>
  <si>
    <t>100-200</t>
  </si>
  <si>
    <t>KHG Sungai Mempawah - Sungai Duri</t>
  </si>
  <si>
    <t>KHG.61.02.01</t>
  </si>
  <si>
    <t>Indikatif Fungsi Lindung E.G.</t>
  </si>
  <si>
    <t>200-300</t>
  </si>
  <si>
    <t>Tanah Terbuka</t>
  </si>
  <si>
    <t>T</t>
  </si>
  <si>
    <t>Belukar Rawa</t>
  </si>
  <si>
    <t>Br</t>
  </si>
  <si>
    <t>BERGAMBUT</t>
  </si>
  <si>
    <t>&lt; 50</t>
  </si>
  <si>
    <t>KHG Sungai Mempawah - Sungai Peniti</t>
  </si>
  <si>
    <t>KHG.61.02-08.01</t>
  </si>
  <si>
    <t>Indikatif Fungsi Budidaya E.G.</t>
  </si>
  <si>
    <t>Hutan Rawa Sekunder</t>
  </si>
  <si>
    <t>Hrs</t>
  </si>
  <si>
    <t>Semak Belukar Rawa</t>
  </si>
  <si>
    <t>Lahan Terbuka</t>
  </si>
  <si>
    <t>Bergambut (&lt;50)</t>
  </si>
  <si>
    <t>Gambut (100-200)</t>
  </si>
  <si>
    <t>Gambut (200-300)</t>
  </si>
  <si>
    <t>Semak belukar</t>
  </si>
  <si>
    <t>Tuplah</t>
  </si>
  <si>
    <t>Lahan terbuka</t>
  </si>
  <si>
    <t>Hutan rawa sekunder</t>
  </si>
  <si>
    <t>FE (tCO2e/ha/thn)</t>
  </si>
  <si>
    <t>Stock gambut = luas (ha) x ketebalan (m) x 10.000 X BD (t/m3) x Kandungan C (Fraksi)</t>
  </si>
  <si>
    <t>Kerapatan C (tC/ha) = Ketebalan (m) x 10.000 x BD X C</t>
  </si>
  <si>
    <t>Stock C = Luas x Kerapatan C</t>
  </si>
  <si>
    <t>Stock CO2e = Tc x 44/12</t>
  </si>
  <si>
    <t>BD</t>
  </si>
  <si>
    <t>Fraksi C</t>
  </si>
  <si>
    <t>Total</t>
  </si>
  <si>
    <t>Stock Gambut (tC)</t>
  </si>
  <si>
    <t>Tuplah (tC)</t>
  </si>
  <si>
    <t>Bergambut</t>
  </si>
  <si>
    <t>Gambut</t>
  </si>
  <si>
    <t>Luas</t>
  </si>
  <si>
    <t>Kerapatan C (Tc/ha)</t>
  </si>
  <si>
    <t>Stock C (tC)</t>
  </si>
  <si>
    <t>Stock CO2e (tCO2e)</t>
  </si>
  <si>
    <t xml:space="preserve">Rumus yang dingunakan </t>
  </si>
  <si>
    <t>Kerapatan C = Ketebalan (m) x 10.000 x BD x Kandungan C</t>
  </si>
  <si>
    <t>Stock C = LuAS (ha) x Kerapatan C (Tc/ha)</t>
  </si>
  <si>
    <t>Stock CO2e = Stock C (tc) x 44/12</t>
  </si>
  <si>
    <t>Kelas</t>
  </si>
  <si>
    <t>Kedalaman</t>
  </si>
  <si>
    <t>Fraksi</t>
  </si>
  <si>
    <t>Kedalama (cm)</t>
  </si>
  <si>
    <t>(m)</t>
  </si>
  <si>
    <t>Total Emisi</t>
  </si>
  <si>
    <t xml:space="preserve">Emisi </t>
  </si>
  <si>
    <t>Berdasarkan kedalaman Gambut</t>
  </si>
  <si>
    <t xml:space="preserve">Jenis </t>
  </si>
  <si>
    <t xml:space="preserve">Gambut </t>
  </si>
  <si>
    <t>Emisi</t>
  </si>
  <si>
    <t>Stock C</t>
  </si>
  <si>
    <t>Stock CO2e</t>
  </si>
  <si>
    <t>Luasan (Ha)</t>
  </si>
  <si>
    <t>Nomor</t>
  </si>
  <si>
    <t>&gt;50 cm</t>
  </si>
  <si>
    <t>Tutupan lahan</t>
  </si>
  <si>
    <t>Details for Sum of ha - PL2022_ID: 2014, KEDALAMAN: 100-200</t>
  </si>
  <si>
    <t>Cadangan Karbon</t>
  </si>
  <si>
    <t>FID</t>
  </si>
  <si>
    <t>Shape *</t>
  </si>
  <si>
    <t>Id</t>
  </si>
  <si>
    <t>Klasifikas</t>
  </si>
  <si>
    <t>Luasan</t>
  </si>
  <si>
    <t>Polygon</t>
  </si>
  <si>
    <t>Semak Belukar</t>
  </si>
  <si>
    <t>Hutan Sekunder</t>
  </si>
  <si>
    <t>Sungai</t>
  </si>
  <si>
    <t>Pertanian</t>
  </si>
  <si>
    <t>Tutupan Lahan Tahun 2026</t>
  </si>
  <si>
    <t>Klasifikasi</t>
  </si>
  <si>
    <t>Stok Karbon</t>
  </si>
  <si>
    <t>Kerapatan</t>
  </si>
  <si>
    <t>Stoc C</t>
  </si>
  <si>
    <t>Stock Co2e</t>
  </si>
  <si>
    <t>Forest Area</t>
  </si>
  <si>
    <t>Deforestation</t>
  </si>
  <si>
    <t>Eligible area</t>
  </si>
  <si>
    <t>Area non hutan</t>
  </si>
  <si>
    <t xml:space="preserve">IKHB </t>
  </si>
  <si>
    <t>tc</t>
  </si>
  <si>
    <t>tCO2e</t>
  </si>
  <si>
    <t>Emission From Annual Deforestation</t>
  </si>
  <si>
    <t>Additional</t>
  </si>
  <si>
    <t>Net VCU</t>
  </si>
  <si>
    <t>Porsi LPHD</t>
  </si>
  <si>
    <t>40.91</t>
  </si>
  <si>
    <t>1.411.16</t>
  </si>
  <si>
    <t>Perubahan Loss</t>
  </si>
  <si>
    <t>Luas (Ha)</t>
  </si>
  <si>
    <t>Hutan Sekunder - Lahan Terbuka</t>
  </si>
  <si>
    <t>Hutan Sekunder - Perkebunan</t>
  </si>
  <si>
    <t>Hutan Sekunder - Semak Belukar</t>
  </si>
  <si>
    <t>Perubahan Gain</t>
  </si>
  <si>
    <t>Semak Belukar - Hutan Sekunder</t>
  </si>
  <si>
    <t>Tutupan Lahan Tahun 2021</t>
  </si>
  <si>
    <t>Tutupan Lahan Tahun 2016</t>
  </si>
  <si>
    <t>Potensi Karbon Kredit Porsi LPHD 15 USD (Rp)</t>
  </si>
  <si>
    <t>Potensi Karbon Kredit Porsi LPHD 10 USD (Rp)</t>
  </si>
  <si>
    <t>Potensi Karbon Kredit Porsi LPHD 5 USD (Rp)</t>
  </si>
  <si>
    <t>Potensi Karbon Kredit Porsi LPHD 3 USD (Rp)</t>
  </si>
  <si>
    <t>(1-35%)</t>
  </si>
  <si>
    <t>(1-35,00%)</t>
  </si>
  <si>
    <t>REDD</t>
  </si>
  <si>
    <t>AGB</t>
  </si>
  <si>
    <t>BGB</t>
  </si>
  <si>
    <t>LITTER</t>
  </si>
  <si>
    <t>SOIL</t>
  </si>
  <si>
    <t>222.91</t>
  </si>
  <si>
    <t>64.64</t>
  </si>
  <si>
    <t>TUPLAH</t>
  </si>
  <si>
    <t>Bimassa</t>
  </si>
  <si>
    <t>Stok karbon</t>
  </si>
  <si>
    <t>CO2e</t>
  </si>
  <si>
    <t>IKHB</t>
  </si>
  <si>
    <t>Non Lphd</t>
  </si>
  <si>
    <t>Potensi Karbon Kredit Porsi LPHD 20 USD (Rp)</t>
  </si>
  <si>
    <t>ARR</t>
  </si>
  <si>
    <t>Rehabilitasi, Agroforestry, ANR</t>
  </si>
  <si>
    <t>Ground Chek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</si>
</sst>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0000000"/>
    <numFmt numFmtId="165" formatCode="_-* #,##0.0_-;\-* #,##0.0_-;_-* &quot;-&quot;??_-;_-@_-"/>
    <numFmt numFmtId="166" formatCode="_-* #,##0_-;\-* #,##0_-;_-* &quot;-&quot;??_-;_-@_-"/>
    <numFmt numFmtId="167" formatCode="_-* #,##0.0_-;\-* #,##0.0_-;_-* &quot;-&quot;?_-;_-@_-"/>
    <numFmt numFmtId="168" formatCode="_-* #,##0.000_-;\-* #,##0.000_-;_-* &quot;-&quot;??_-;_-@_-"/>
    <numFmt numFmtId="169" formatCode="0.000"/>
    <numFmt numFmtId="170" formatCode="0.0000"/>
    <numFmt numFmtId="171" formatCode="_-* #,##0.0000_-;\-* #,##0.0000_-;_-* &quot;-&quot;??_-;_-@_-"/>
  </numFmts>
  <fonts count="25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2"/>
      <color theme="9" tint="0.59999389629810485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60325937681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33" borderId="0" xfId="0" applyFill="1"/>
    <xf numFmtId="2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165" fontId="0" fillId="0" borderId="0" xfId="42" applyNumberFormat="1" applyFont="1"/>
    <xf numFmtId="166" fontId="0" fillId="0" borderId="0" xfId="42" applyNumberFormat="1" applyFont="1"/>
    <xf numFmtId="166" fontId="0" fillId="0" borderId="0" xfId="0" applyNumberFormat="1"/>
    <xf numFmtId="165" fontId="0" fillId="34" borderId="0" xfId="42" applyNumberFormat="1" applyFont="1" applyFill="1"/>
    <xf numFmtId="0" fontId="0" fillId="35" borderId="0" xfId="0" applyFill="1"/>
    <xf numFmtId="165" fontId="0" fillId="34" borderId="0" xfId="42" applyNumberFormat="1" applyFont="1" applyFill="1" applyAlignment="1"/>
    <xf numFmtId="165" fontId="0" fillId="0" borderId="0" xfId="0" applyNumberFormat="1"/>
    <xf numFmtId="0" fontId="0" fillId="35" borderId="10" xfId="0" applyFill="1" applyBorder="1"/>
    <xf numFmtId="0" fontId="19" fillId="35" borderId="10" xfId="0" applyFont="1" applyFill="1" applyBorder="1"/>
    <xf numFmtId="0" fontId="0" fillId="0" borderId="10" xfId="0" applyBorder="1" applyAlignment="1">
      <alignment horizontal="left"/>
    </xf>
    <xf numFmtId="43" fontId="0" fillId="0" borderId="10" xfId="42" applyFont="1" applyBorder="1"/>
    <xf numFmtId="165" fontId="0" fillId="35" borderId="10" xfId="42" applyNumberFormat="1" applyFont="1" applyFill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42" applyNumberFormat="1" applyFont="1" applyAlignment="1">
      <alignment horizontal="center" vertical="center"/>
    </xf>
    <xf numFmtId="0" fontId="16" fillId="36" borderId="11" xfId="0" applyFont="1" applyFill="1" applyBorder="1"/>
    <xf numFmtId="0" fontId="16" fillId="0" borderId="0" xfId="0" applyFont="1"/>
    <xf numFmtId="167" fontId="0" fillId="0" borderId="0" xfId="0" applyNumberFormat="1"/>
    <xf numFmtId="43" fontId="0" fillId="0" borderId="0" xfId="42" applyFont="1"/>
    <xf numFmtId="43" fontId="19" fillId="0" borderId="10" xfId="42" applyFont="1" applyBorder="1"/>
    <xf numFmtId="165" fontId="19" fillId="37" borderId="10" xfId="42" applyNumberFormat="1" applyFont="1" applyFill="1" applyBorder="1" applyAlignment="1">
      <alignment horizontal="center"/>
    </xf>
    <xf numFmtId="165" fontId="19" fillId="0" borderId="10" xfId="42" applyNumberFormat="1" applyFont="1" applyBorder="1"/>
    <xf numFmtId="0" fontId="0" fillId="0" borderId="0" xfId="42" applyNumberFormat="1" applyFont="1"/>
    <xf numFmtId="9" fontId="0" fillId="0" borderId="0" xfId="42" applyNumberFormat="1" applyFont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  <xf numFmtId="4" fontId="24" fillId="38" borderId="10" xfId="0" applyNumberFormat="1" applyFont="1" applyFill="1" applyBorder="1" applyAlignment="1">
      <alignment horizontal="center"/>
    </xf>
    <xf numFmtId="4" fontId="24" fillId="0" borderId="10" xfId="0" applyNumberFormat="1" applyFont="1" applyBorder="1"/>
    <xf numFmtId="4" fontId="24" fillId="0" borderId="12" xfId="0" applyNumberFormat="1" applyFont="1" applyBorder="1"/>
    <xf numFmtId="165" fontId="0" fillId="0" borderId="0" xfId="42" applyNumberFormat="1" applyFont="1" applyFill="1"/>
    <xf numFmtId="166" fontId="0" fillId="0" borderId="0" xfId="42" applyNumberFormat="1" applyFont="1" applyFill="1"/>
    <xf numFmtId="166" fontId="0" fillId="0" borderId="0" xfId="42" applyNumberFormat="1" applyFont="1" applyAlignment="1">
      <alignment wrapText="1"/>
    </xf>
    <xf numFmtId="166" fontId="0" fillId="0" borderId="0" xfId="42" applyNumberFormat="1" applyFont="1" applyAlignment="1">
      <alignment horizontal="center" wrapText="1"/>
    </xf>
    <xf numFmtId="2" fontId="0" fillId="0" borderId="0" xfId="42" applyNumberFormat="1" applyFont="1"/>
    <xf numFmtId="9" fontId="0" fillId="0" borderId="0" xfId="43" applyFont="1"/>
    <xf numFmtId="168" fontId="0" fillId="0" borderId="0" xfId="42" applyNumberFormat="1" applyFont="1"/>
    <xf numFmtId="169" fontId="0" fillId="0" borderId="0" xfId="42" applyNumberFormat="1" applyFont="1"/>
    <xf numFmtId="43" fontId="24" fillId="0" borderId="10" xfId="42" applyFont="1" applyBorder="1"/>
    <xf numFmtId="170" fontId="0" fillId="0" borderId="0" xfId="42" applyNumberFormat="1" applyFont="1"/>
    <xf numFmtId="170" fontId="0" fillId="0" borderId="0" xfId="0" applyNumberFormat="1" applyAlignment="1">
      <alignment wrapText="1"/>
    </xf>
    <xf numFmtId="166" fontId="0" fillId="0" borderId="0" xfId="0" applyNumberFormat="1" applyAlignment="1">
      <alignment horizontal="center"/>
    </xf>
    <xf numFmtId="166" fontId="0" fillId="0" borderId="0" xfId="42" applyNumberFormat="1" applyFont="1" applyAlignment="1">
      <alignment horizontal="center" wrapText="1"/>
    </xf>
    <xf numFmtId="4" fontId="20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 wrapText="1"/>
    </xf>
    <xf numFmtId="4" fontId="23" fillId="0" borderId="10" xfId="0" applyNumberFormat="1" applyFont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0" xfId="0" applyAlignment="1">
      <alignment horizontal="left"/>
    </xf>
    <xf numFmtId="171" fontId="0" fillId="0" borderId="0" xfId="42" applyNumberFormat="1" applyFont="1"/>
    <xf numFmtId="3" fontId="0" fillId="0" borderId="0" xfId="0" applyNumberFormat="1"/>
    <xf numFmtId="43" fontId="0" fillId="0" borderId="0" xfId="0" applyNumberFormat="1"/>
    <xf numFmtId="43" fontId="0" fillId="0" borderId="0" xfId="42" applyFont="1" applyAlignment="1">
      <alignment horizontal="center"/>
    </xf>
    <xf numFmtId="43" fontId="0" fillId="0" borderId="0" xfId="42" applyFont="1" applyAlignment="1">
      <alignment horizontal="center" wrapText="1"/>
    </xf>
    <xf numFmtId="43" fontId="19" fillId="0" borderId="0" xfId="42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8D5E1-3039-4580-AB61-D0A38FADAE5A}" name="Table1" displayName="Table1" ref="A3:U5" totalsRowShown="0">
  <autoFilter ref="A3:U5" xr:uid="{6478D5E1-3039-4580-AB61-D0A38FADAE5A}"/>
  <tableColumns count="21">
    <tableColumn id="1" xr3:uid="{8D379945-B47C-4891-B96A-F347932D272F}" name="OBJECTID_1"/>
    <tableColumn id="2" xr3:uid="{83227D52-344B-4EA7-94F1-EF67535FD4FE}" name="FID_Tuplah"/>
    <tableColumn id="3" xr3:uid="{85EFA445-EB4B-4390-A0C3-1CA4CBE820F6}" name="OBJECTID"/>
    <tableColumn id="4" xr3:uid="{3F03ECCB-220C-4AE1-B4B8-9A94678F7B19}" name="KODE_PROV"/>
    <tableColumn id="5" xr3:uid="{C40CC813-AE13-4FC2-AC2B-32EC0D43AD94}" name="PL2022_ID"/>
    <tableColumn id="6" xr3:uid="{D4656CA4-BE1D-4041-B844-E410C0D4EC58}" name="FOLDER"/>
    <tableColumn id="7" xr3:uid="{D57BD387-F249-4B43-91E4-A1288B1A0007}" name="deskripsi"/>
    <tableColumn id="8" xr3:uid="{3969EC74-EC50-433E-AE3C-F17D0AB56127}" name="simbol"/>
    <tableColumn id="9" xr3:uid="{43880076-E42E-44B8-928A-D0B6B58A7F72}" name="LUAS"/>
    <tableColumn id="10" xr3:uid="{EBE3548C-1201-4239-A199-174BDEF4D27B}" name="FID_Kedala"/>
    <tableColumn id="11" xr3:uid="{9F0E734C-ACA8-4F37-A3FB-75E782550906}" name="OBJECTID_2"/>
    <tableColumn id="12" xr3:uid="{117F5F00-270B-4B83-96C2-1BD2CFE62444}" name="JENIS_GAMB"/>
    <tableColumn id="13" xr3:uid="{7F2C95B7-2D7F-449D-889A-A70CDA841E95}" name="KEDALAMAN"/>
    <tableColumn id="14" xr3:uid="{4D7FAF62-E844-4894-9DDC-1722F6CFE585}" name="NAMA_KHG"/>
    <tableColumn id="15" xr3:uid="{B14D8646-4BE2-465B-870E-44A9F7B72460}" name="KODE_KHG"/>
    <tableColumn id="16" xr3:uid="{2718AA7D-B212-4378-9715-92EEC828C42E}" name="FEG_KGHLTR"/>
    <tableColumn id="17" xr3:uid="{A43391A1-99A6-433A-B0F7-F679C330CAEE}" name="L_1"/>
    <tableColumn id="18" xr3:uid="{3C4F4D58-597E-4484-9C44-D7502AE93B1F}" name="Shape_Leng"/>
    <tableColumn id="19" xr3:uid="{AFF9133F-639B-4AB6-8033-2B40A3796E44}" name="ha"/>
    <tableColumn id="20" xr3:uid="{978C3C10-2491-47EE-BF5B-674A2DE2AD68}" name="Shape_Le_1"/>
    <tableColumn id="21" xr3:uid="{D7263302-9341-466D-B184-6921A8220ACD}" name="Shape_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CAED-EE7A-4AE0-9DEA-B2322DA79849}">
  <dimension ref="A1:U5"/>
  <sheetViews>
    <sheetView workbookViewId="0">
      <selection activeCell="A3" sqref="A3:U5"/>
    </sheetView>
  </sheetViews>
  <sheetFormatPr defaultRowHeight="15.6"/>
  <cols>
    <col min="1" max="1" width="15" bestFit="1" customWidth="1"/>
    <col min="2" max="3" width="12.8984375" bestFit="1" customWidth="1"/>
    <col min="4" max="4" width="15.296875" bestFit="1" customWidth="1"/>
    <col min="5" max="5" width="12.5" bestFit="1" customWidth="1"/>
    <col min="6" max="6" width="16.296875" bestFit="1" customWidth="1"/>
    <col min="7" max="7" width="12.69921875" bestFit="1" customWidth="1"/>
    <col min="8" max="9" width="8.8984375" bestFit="1" customWidth="1"/>
    <col min="10" max="10" width="13" bestFit="1" customWidth="1"/>
    <col min="11" max="11" width="15" bestFit="1" customWidth="1"/>
    <col min="12" max="12" width="15.59765625" bestFit="1" customWidth="1"/>
    <col min="13" max="13" width="15.796875" bestFit="1" customWidth="1"/>
    <col min="14" max="14" width="32.19921875" bestFit="1" customWidth="1"/>
    <col min="15" max="15" width="14.09765625" bestFit="1" customWidth="1"/>
    <col min="16" max="16" width="24.3984375" bestFit="1" customWidth="1"/>
    <col min="17" max="17" width="8.8984375" bestFit="1" customWidth="1"/>
    <col min="18" max="18" width="13.296875" bestFit="1" customWidth="1"/>
    <col min="19" max="19" width="8.8984375" bestFit="1" customWidth="1"/>
    <col min="20" max="20" width="13.296875" bestFit="1" customWidth="1"/>
    <col min="21" max="21" width="13.19921875" bestFit="1" customWidth="1"/>
  </cols>
  <sheetData>
    <row r="1" spans="1:21">
      <c r="A1" s="25" t="s">
        <v>87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>
      <c r="A4">
        <v>15</v>
      </c>
      <c r="B4">
        <v>8</v>
      </c>
      <c r="C4">
        <v>234962</v>
      </c>
      <c r="D4">
        <v>61</v>
      </c>
      <c r="E4">
        <v>2014</v>
      </c>
      <c r="F4" t="s">
        <v>21</v>
      </c>
      <c r="G4" t="s">
        <v>30</v>
      </c>
      <c r="H4" t="s">
        <v>31</v>
      </c>
      <c r="I4">
        <v>84</v>
      </c>
      <c r="J4">
        <v>1</v>
      </c>
      <c r="K4">
        <v>1626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>
        <v>2707.8335309300001</v>
      </c>
      <c r="R4">
        <v>35488.116554100001</v>
      </c>
      <c r="S4">
        <v>0</v>
      </c>
      <c r="T4">
        <v>131.96216966099999</v>
      </c>
      <c r="U4">
        <v>382.55131333899999</v>
      </c>
    </row>
    <row r="5" spans="1:21">
      <c r="A5">
        <v>14</v>
      </c>
      <c r="B5">
        <v>7</v>
      </c>
      <c r="C5">
        <v>234961</v>
      </c>
      <c r="D5">
        <v>61</v>
      </c>
      <c r="E5">
        <v>2014</v>
      </c>
      <c r="F5" t="s">
        <v>21</v>
      </c>
      <c r="G5" t="s">
        <v>30</v>
      </c>
      <c r="H5" t="s">
        <v>31</v>
      </c>
      <c r="I5">
        <v>8</v>
      </c>
      <c r="J5">
        <v>1</v>
      </c>
      <c r="K5">
        <v>1626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>
        <v>2707.8335309300001</v>
      </c>
      <c r="R5">
        <v>35488.116554100001</v>
      </c>
      <c r="S5">
        <v>8</v>
      </c>
      <c r="T5">
        <v>1041.0632321600001</v>
      </c>
      <c r="U5">
        <v>77406.379503499993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W65"/>
  <sheetViews>
    <sheetView topLeftCell="A50" workbookViewId="0">
      <selection activeCell="C65" sqref="C65"/>
    </sheetView>
  </sheetViews>
  <sheetFormatPr defaultRowHeight="15.6"/>
  <cols>
    <col min="1" max="1" width="18.5" customWidth="1"/>
    <col min="2" max="2" width="15.59765625" bestFit="1" customWidth="1"/>
    <col min="3" max="4" width="15.796875" bestFit="1" customWidth="1"/>
    <col min="5" max="5" width="12.796875" bestFit="1" customWidth="1"/>
    <col min="6" max="6" width="17.69921875" bestFit="1" customWidth="1"/>
    <col min="7" max="7" width="15.59765625" bestFit="1" customWidth="1"/>
    <col min="8" max="8" width="11.296875" bestFit="1" customWidth="1"/>
    <col min="9" max="9" width="18.09765625" bestFit="1" customWidth="1"/>
    <col min="10" max="10" width="12.59765625" bestFit="1" customWidth="1"/>
    <col min="11" max="11" width="13.09765625" bestFit="1" customWidth="1"/>
    <col min="12" max="12" width="12.59765625" bestFit="1" customWidth="1"/>
    <col min="13" max="13" width="14.19921875" bestFit="1" customWidth="1"/>
    <col min="14" max="14" width="10.296875" bestFit="1" customWidth="1"/>
    <col min="15" max="15" width="11.796875" bestFit="1" customWidth="1"/>
    <col min="16" max="16" width="9.296875" bestFit="1" customWidth="1"/>
    <col min="17" max="17" width="9.3984375" bestFit="1" customWidth="1"/>
    <col min="18" max="18" width="9.296875" bestFit="1" customWidth="1"/>
    <col min="19" max="19" width="10.59765625" bestFit="1" customWidth="1"/>
    <col min="20" max="22" width="15.3984375" bestFit="1" customWidth="1"/>
    <col min="23" max="23" width="13.8984375" bestFit="1" customWidth="1"/>
  </cols>
  <sheetData>
    <row r="6" spans="1:10">
      <c r="A6" s="59" t="s">
        <v>76</v>
      </c>
      <c r="B6" s="59"/>
      <c r="C6" s="59"/>
      <c r="D6" s="59"/>
      <c r="E6" s="59"/>
      <c r="G6" s="5"/>
      <c r="H6" s="5"/>
      <c r="I6" s="5"/>
      <c r="J6" s="5"/>
    </row>
    <row r="7" spans="1:10">
      <c r="A7" t="s">
        <v>47</v>
      </c>
      <c r="B7" t="s">
        <v>43</v>
      </c>
      <c r="C7" t="s">
        <v>44</v>
      </c>
      <c r="D7" t="s">
        <v>45</v>
      </c>
      <c r="E7" t="s">
        <v>75</v>
      </c>
      <c r="G7" s="4" t="s">
        <v>47</v>
      </c>
      <c r="H7" s="4" t="s">
        <v>50</v>
      </c>
      <c r="I7" s="4" t="s">
        <v>55</v>
      </c>
      <c r="J7" s="4" t="s">
        <v>56</v>
      </c>
    </row>
    <row r="8" spans="1:10">
      <c r="A8" s="9" t="s">
        <v>22</v>
      </c>
      <c r="B8" s="9"/>
      <c r="C8" s="9">
        <f>1*40</f>
        <v>40</v>
      </c>
      <c r="D8" s="9">
        <f>9*40</f>
        <v>360</v>
      </c>
      <c r="E8" s="9">
        <f>C8+D8</f>
        <v>400</v>
      </c>
      <c r="G8" s="4" t="s">
        <v>22</v>
      </c>
      <c r="H8" s="4">
        <v>40</v>
      </c>
      <c r="I8" s="4">
        <v>0.13</v>
      </c>
      <c r="J8" s="4">
        <v>0.53</v>
      </c>
    </row>
    <row r="9" spans="1:10">
      <c r="A9" s="9" t="s">
        <v>42</v>
      </c>
      <c r="B9" s="9"/>
      <c r="C9" s="9">
        <f>8*35</f>
        <v>280</v>
      </c>
      <c r="D9" s="9">
        <f>84*35</f>
        <v>2940</v>
      </c>
      <c r="E9" s="9">
        <f>C9+D9</f>
        <v>3220</v>
      </c>
      <c r="G9" s="4" t="s">
        <v>48</v>
      </c>
      <c r="H9" s="4">
        <v>35</v>
      </c>
      <c r="I9" s="4">
        <v>0.13</v>
      </c>
      <c r="J9" s="4">
        <v>0.53</v>
      </c>
    </row>
    <row r="10" spans="1:10">
      <c r="A10" s="9" t="s">
        <v>39</v>
      </c>
      <c r="B10" s="9">
        <f>352*19</f>
        <v>6688</v>
      </c>
      <c r="C10" s="9">
        <f>943*19</f>
        <v>17917</v>
      </c>
      <c r="D10" s="9">
        <f>38*19</f>
        <v>722</v>
      </c>
      <c r="E10" s="9">
        <f>B10+C10+D10</f>
        <v>25327</v>
      </c>
      <c r="G10" s="4" t="s">
        <v>49</v>
      </c>
      <c r="H10" s="4">
        <v>19</v>
      </c>
      <c r="I10" s="4">
        <v>0.1</v>
      </c>
      <c r="J10" s="4">
        <v>0.55000000000000004</v>
      </c>
    </row>
    <row r="11" spans="1:10">
      <c r="A11" s="9" t="s">
        <v>46</v>
      </c>
      <c r="B11" s="9">
        <f>101*19</f>
        <v>1919</v>
      </c>
      <c r="C11" s="9">
        <f>635*19</f>
        <v>12065</v>
      </c>
      <c r="D11" s="9">
        <f>298*19</f>
        <v>5662</v>
      </c>
      <c r="E11" s="9">
        <f>B11+C11+D11</f>
        <v>19646</v>
      </c>
      <c r="G11" s="4" t="s">
        <v>46</v>
      </c>
      <c r="H11" s="4">
        <v>19</v>
      </c>
      <c r="I11" s="4">
        <v>0.11</v>
      </c>
      <c r="J11" s="4">
        <v>0.55000000000000004</v>
      </c>
    </row>
    <row r="12" spans="1:10">
      <c r="A12" s="14" t="s">
        <v>57</v>
      </c>
      <c r="B12" s="14"/>
      <c r="C12" s="14"/>
      <c r="D12" s="14"/>
      <c r="E12" s="12">
        <f>SUM(E8:E11)</f>
        <v>48593</v>
      </c>
    </row>
    <row r="13" spans="1:10">
      <c r="A13" s="7"/>
      <c r="B13" s="7"/>
      <c r="C13" s="7"/>
      <c r="D13" s="7"/>
      <c r="E13" s="7"/>
      <c r="F13" s="7"/>
      <c r="G13" s="4" t="s">
        <v>47</v>
      </c>
      <c r="H13" s="4">
        <v>50</v>
      </c>
      <c r="I13" s="4" t="s">
        <v>25</v>
      </c>
      <c r="J13" s="4" t="s">
        <v>29</v>
      </c>
    </row>
    <row r="14" spans="1:10">
      <c r="A14" s="5" t="s">
        <v>58</v>
      </c>
      <c r="B14" s="5">
        <f>25/100</f>
        <v>0.25</v>
      </c>
      <c r="C14" s="5">
        <f>150/100</f>
        <v>1.5</v>
      </c>
      <c r="D14" s="5">
        <f>250/100</f>
        <v>2.5</v>
      </c>
      <c r="E14" s="5"/>
      <c r="G14" s="4" t="s">
        <v>22</v>
      </c>
      <c r="H14" s="4">
        <v>0.11</v>
      </c>
      <c r="I14" s="4">
        <v>0.08</v>
      </c>
      <c r="J14" s="4">
        <v>0.06</v>
      </c>
    </row>
    <row r="15" spans="1:10">
      <c r="A15" t="s">
        <v>47</v>
      </c>
      <c r="B15" t="s">
        <v>34</v>
      </c>
      <c r="C15" t="s">
        <v>24</v>
      </c>
      <c r="D15" t="s">
        <v>24</v>
      </c>
      <c r="E15" t="s">
        <v>57</v>
      </c>
      <c r="G15" s="4" t="s">
        <v>48</v>
      </c>
      <c r="H15" s="4">
        <v>0.11</v>
      </c>
      <c r="I15" s="4">
        <v>0.08</v>
      </c>
      <c r="J15" s="4">
        <v>0.06</v>
      </c>
    </row>
    <row r="16" spans="1:10">
      <c r="A16" t="s">
        <v>22</v>
      </c>
      <c r="B16" s="9"/>
      <c r="C16" s="10">
        <f>1*1.5*10000*0.13*0.53</f>
        <v>1033.5</v>
      </c>
      <c r="D16" s="9">
        <f>9*2.5*10000*0.13*0.53</f>
        <v>15502.5</v>
      </c>
      <c r="E16" s="9">
        <f>C16+D16</f>
        <v>16536</v>
      </c>
      <c r="G16" s="4" t="s">
        <v>49</v>
      </c>
      <c r="H16" s="4">
        <v>0.11</v>
      </c>
      <c r="I16" s="4">
        <v>0.08</v>
      </c>
      <c r="J16" s="4">
        <v>0.06</v>
      </c>
    </row>
    <row r="17" spans="1:10">
      <c r="A17" s="3" t="s">
        <v>42</v>
      </c>
      <c r="B17" s="9"/>
      <c r="C17" s="9">
        <f>8*1.5*10000*0.13*0.53</f>
        <v>8268</v>
      </c>
      <c r="D17" s="9">
        <f>84*2.5*10000*0.13*0.53</f>
        <v>144690</v>
      </c>
      <c r="E17" s="9">
        <f>C17+D17</f>
        <v>152958</v>
      </c>
      <c r="G17" s="4" t="s">
        <v>46</v>
      </c>
      <c r="H17" s="4">
        <v>0.11</v>
      </c>
      <c r="I17" s="4">
        <v>0.08</v>
      </c>
      <c r="J17" s="4">
        <v>0.06</v>
      </c>
    </row>
    <row r="18" spans="1:10">
      <c r="A18" s="3" t="s">
        <v>39</v>
      </c>
      <c r="B18" s="9">
        <f>352*0.25*10000*0.1*0.55</f>
        <v>48400.000000000007</v>
      </c>
      <c r="C18" s="9">
        <f>943*1.5*10000*0.1*0.55</f>
        <v>777975.00000000012</v>
      </c>
      <c r="D18" s="9">
        <f>38*2.5*10000*0.1*0.55</f>
        <v>52250.000000000007</v>
      </c>
      <c r="E18" s="9">
        <f>B18+C18+D18</f>
        <v>878625.00000000012</v>
      </c>
    </row>
    <row r="19" spans="1:10">
      <c r="A19" s="3" t="s">
        <v>41</v>
      </c>
      <c r="B19" s="9">
        <f>101*0.25*10000*0.11*0.55</f>
        <v>15276.250000000002</v>
      </c>
      <c r="C19" s="9">
        <f>635*1.5*10000*0.11*0.55</f>
        <v>576262.5</v>
      </c>
      <c r="D19" s="9">
        <f>298*2.5*10000*0.11*0.55</f>
        <v>450725.00000000006</v>
      </c>
      <c r="E19" s="9">
        <f>B19+C19+D19</f>
        <v>1042263.75</v>
      </c>
    </row>
    <row r="20" spans="1:10">
      <c r="A20" s="3" t="s">
        <v>57</v>
      </c>
      <c r="B20" s="6">
        <f>SUM(B18:B19)</f>
        <v>63676.250000000007</v>
      </c>
      <c r="C20" s="11">
        <f>SUM(C16:C19)</f>
        <v>1363539</v>
      </c>
      <c r="D20" s="15">
        <f>SUM(D16:D19)</f>
        <v>663167.5</v>
      </c>
      <c r="E20" s="15">
        <f>SUM(E16:E19)</f>
        <v>2090382.75</v>
      </c>
    </row>
    <row r="21" spans="1:10">
      <c r="A21" s="13" t="s">
        <v>51</v>
      </c>
      <c r="B21" s="13"/>
      <c r="C21" s="13"/>
      <c r="D21" s="13"/>
      <c r="E21" s="13"/>
    </row>
    <row r="23" spans="1:10">
      <c r="A23" s="5" t="s">
        <v>47</v>
      </c>
      <c r="B23" s="5">
        <f>25/100</f>
        <v>0.25</v>
      </c>
      <c r="C23" s="5">
        <f>150/100</f>
        <v>1.5</v>
      </c>
      <c r="D23" s="5">
        <f>250/100</f>
        <v>2.5</v>
      </c>
      <c r="E23" s="5" t="s">
        <v>57</v>
      </c>
    </row>
    <row r="24" spans="1:10">
      <c r="A24" t="s">
        <v>22</v>
      </c>
      <c r="B24" s="9"/>
      <c r="C24" s="9">
        <f>1.5*10000*0.13*0.53</f>
        <v>1033.5</v>
      </c>
      <c r="D24" s="9">
        <f>D23*10000*0.13*0.53</f>
        <v>1722.5</v>
      </c>
      <c r="E24" s="9">
        <f>C24+D24</f>
        <v>2756</v>
      </c>
    </row>
    <row r="25" spans="1:10">
      <c r="A25" s="3" t="s">
        <v>42</v>
      </c>
      <c r="B25" s="9"/>
      <c r="C25" s="9">
        <f>1.5*10000*0.13*0.53</f>
        <v>1033.5</v>
      </c>
      <c r="D25" s="9">
        <f>D23*10000*0.13*0.53</f>
        <v>1722.5</v>
      </c>
      <c r="E25" s="9">
        <f>C25+D25</f>
        <v>2756</v>
      </c>
    </row>
    <row r="26" spans="1:10">
      <c r="A26" s="3" t="s">
        <v>39</v>
      </c>
      <c r="B26" s="9">
        <f>B23*10000*0.1*0.55</f>
        <v>137.5</v>
      </c>
      <c r="C26" s="9">
        <f>1.5*10000*0.1*0.55</f>
        <v>825.00000000000011</v>
      </c>
      <c r="D26" s="9">
        <f>2.5*10000*0.1*0.55</f>
        <v>1375</v>
      </c>
      <c r="E26" s="9">
        <f>B26+C26+D26</f>
        <v>2337.5</v>
      </c>
    </row>
    <row r="27" spans="1:10">
      <c r="A27" s="3" t="s">
        <v>41</v>
      </c>
      <c r="B27" s="9">
        <f>B23*10000*0.11*0.55</f>
        <v>151.25</v>
      </c>
      <c r="C27" s="9">
        <f>C23*10000*0.11*0.55</f>
        <v>907.50000000000011</v>
      </c>
      <c r="D27" s="9">
        <f>2.5*10000*0.11*0.55</f>
        <v>1512.5000000000002</v>
      </c>
      <c r="E27" s="9">
        <f>B27+C27+D27</f>
        <v>2571.25</v>
      </c>
    </row>
    <row r="28" spans="1:10">
      <c r="A28" s="3" t="s">
        <v>57</v>
      </c>
      <c r="B28" s="9">
        <f>SUM(B25:B27)</f>
        <v>288.75</v>
      </c>
      <c r="C28" s="9">
        <f t="shared" ref="C28:D28" si="0">SUM(C25:C27)</f>
        <v>2766</v>
      </c>
      <c r="D28" s="9">
        <f t="shared" si="0"/>
        <v>4610</v>
      </c>
      <c r="E28" s="9"/>
    </row>
    <row r="29" spans="1:10">
      <c r="A29" s="13" t="s">
        <v>52</v>
      </c>
      <c r="B29" s="13"/>
      <c r="C29" s="13"/>
    </row>
    <row r="31" spans="1:10">
      <c r="A31" s="5" t="s">
        <v>59</v>
      </c>
      <c r="B31" s="5">
        <f>25/100</f>
        <v>0.25</v>
      </c>
      <c r="C31" s="5">
        <f>150/100</f>
        <v>1.5</v>
      </c>
      <c r="D31" s="5">
        <f>250/100</f>
        <v>2.5</v>
      </c>
      <c r="E31" s="5" t="s">
        <v>57</v>
      </c>
    </row>
    <row r="32" spans="1:10">
      <c r="A32" t="s">
        <v>22</v>
      </c>
      <c r="B32" s="9"/>
      <c r="C32" s="9">
        <f>1*C24</f>
        <v>1033.5</v>
      </c>
      <c r="D32" s="9">
        <f>9*D24</f>
        <v>15502.5</v>
      </c>
      <c r="E32" s="9">
        <f>C32+D32</f>
        <v>16536</v>
      </c>
    </row>
    <row r="33" spans="1:5">
      <c r="A33" s="3" t="s">
        <v>42</v>
      </c>
      <c r="B33" s="9"/>
      <c r="C33" s="9">
        <f>8*C25</f>
        <v>8268</v>
      </c>
      <c r="D33" s="9">
        <f>84*D25</f>
        <v>144690</v>
      </c>
      <c r="E33" s="9">
        <f>C33+D33</f>
        <v>152958</v>
      </c>
    </row>
    <row r="34" spans="1:5">
      <c r="A34" s="3" t="s">
        <v>39</v>
      </c>
      <c r="B34" s="9">
        <f>352*B26</f>
        <v>48400</v>
      </c>
      <c r="C34" s="9">
        <f>943*C26</f>
        <v>777975.00000000012</v>
      </c>
      <c r="D34" s="9">
        <f>38*D26</f>
        <v>52250</v>
      </c>
      <c r="E34" s="9">
        <f>B34+C34+D34</f>
        <v>878625.00000000012</v>
      </c>
    </row>
    <row r="35" spans="1:5">
      <c r="A35" s="3" t="s">
        <v>41</v>
      </c>
      <c r="B35" s="9">
        <f>101*B27</f>
        <v>15276.25</v>
      </c>
      <c r="C35" s="9">
        <f>635*C27</f>
        <v>576262.50000000012</v>
      </c>
      <c r="D35" s="9">
        <f>298*D27</f>
        <v>450725.00000000006</v>
      </c>
      <c r="E35" s="9">
        <f>B35+C35+D35</f>
        <v>1042263.7500000002</v>
      </c>
    </row>
    <row r="36" spans="1:5">
      <c r="A36" s="3" t="s">
        <v>57</v>
      </c>
      <c r="B36" s="9">
        <f>B34+B35</f>
        <v>63676.25</v>
      </c>
      <c r="C36" s="9">
        <f>SUM(C32:C35)</f>
        <v>1363539.0000000002</v>
      </c>
      <c r="D36" s="9">
        <f>SUM(D32:D35)</f>
        <v>663167.5</v>
      </c>
      <c r="E36" s="9">
        <f>SUM(E32:E35)</f>
        <v>2090382.7500000005</v>
      </c>
    </row>
    <row r="37" spans="1:5">
      <c r="A37" s="13" t="s">
        <v>53</v>
      </c>
      <c r="B37" s="13"/>
    </row>
    <row r="39" spans="1:5">
      <c r="A39" s="5" t="s">
        <v>47</v>
      </c>
      <c r="B39" s="5">
        <f>25/100</f>
        <v>0.25</v>
      </c>
      <c r="C39" s="5">
        <f>150/100</f>
        <v>1.5</v>
      </c>
      <c r="D39" s="5">
        <f>250/100</f>
        <v>2.5</v>
      </c>
      <c r="E39" s="5" t="s">
        <v>57</v>
      </c>
    </row>
    <row r="40" spans="1:5">
      <c r="A40" t="s">
        <v>22</v>
      </c>
      <c r="B40" s="9"/>
      <c r="C40" s="9">
        <f t="shared" ref="C40:D43" si="1">C32*44/12</f>
        <v>3789.5</v>
      </c>
      <c r="D40" s="9">
        <f t="shared" si="1"/>
        <v>56842.5</v>
      </c>
      <c r="E40" s="9">
        <f>C40+D40</f>
        <v>60632</v>
      </c>
    </row>
    <row r="41" spans="1:5">
      <c r="A41" s="3" t="s">
        <v>42</v>
      </c>
      <c r="B41" s="9"/>
      <c r="C41" s="9">
        <f>C33*44/12</f>
        <v>30316</v>
      </c>
      <c r="D41" s="9">
        <f t="shared" si="1"/>
        <v>530530</v>
      </c>
      <c r="E41" s="9">
        <f>C41+D41</f>
        <v>560846</v>
      </c>
    </row>
    <row r="42" spans="1:5">
      <c r="A42" s="3" t="s">
        <v>39</v>
      </c>
      <c r="B42" s="9">
        <f>B34*44/12</f>
        <v>177466.66666666666</v>
      </c>
      <c r="C42" s="9">
        <f>C34*44/12</f>
        <v>2852575.0000000005</v>
      </c>
      <c r="D42" s="9">
        <f t="shared" si="1"/>
        <v>191583.33333333334</v>
      </c>
      <c r="E42" s="9">
        <f>B42+C42+D42</f>
        <v>3221625.0000000005</v>
      </c>
    </row>
    <row r="43" spans="1:5">
      <c r="A43" s="3" t="s">
        <v>41</v>
      </c>
      <c r="B43" s="9">
        <f>B35*44/12</f>
        <v>56012.916666666664</v>
      </c>
      <c r="C43" s="9">
        <f t="shared" si="1"/>
        <v>2112962.5000000005</v>
      </c>
      <c r="D43" s="9">
        <f t="shared" si="1"/>
        <v>1652658.3333333337</v>
      </c>
      <c r="E43" s="9">
        <f>B43+C43+D43</f>
        <v>3821633.7500000009</v>
      </c>
    </row>
    <row r="44" spans="1:5">
      <c r="A44" s="13" t="s">
        <v>54</v>
      </c>
      <c r="B44" s="13"/>
      <c r="E44" s="15">
        <f>SUM(E40:E43)</f>
        <v>7664736.7500000019</v>
      </c>
    </row>
    <row r="45" spans="1:5">
      <c r="E45" s="26"/>
    </row>
    <row r="47" spans="1:5">
      <c r="A47" t="s">
        <v>84</v>
      </c>
      <c r="B47" s="22" t="s">
        <v>83</v>
      </c>
      <c r="C47" s="8" t="s">
        <v>80</v>
      </c>
      <c r="D47" s="8" t="s">
        <v>81</v>
      </c>
      <c r="E47" s="8" t="s">
        <v>82</v>
      </c>
    </row>
    <row r="48" spans="1:5">
      <c r="A48">
        <v>1</v>
      </c>
      <c r="B48" s="23">
        <f>B57</f>
        <v>2468.5100000000002</v>
      </c>
      <c r="C48" s="21">
        <f>E12</f>
        <v>48593</v>
      </c>
      <c r="D48" s="21">
        <f>E36</f>
        <v>2090382.7500000005</v>
      </c>
      <c r="E48" s="21">
        <f>E44</f>
        <v>7664736.7500000019</v>
      </c>
    </row>
    <row r="49" spans="1:23">
      <c r="D49" s="26">
        <f>D48/4</f>
        <v>522595.68750000012</v>
      </c>
      <c r="E49" s="26">
        <f>E48/4</f>
        <v>1916184.1875000005</v>
      </c>
    </row>
    <row r="51" spans="1:23">
      <c r="A51" s="55" t="s">
        <v>99</v>
      </c>
      <c r="B51" s="55"/>
      <c r="H51" s="56" t="s">
        <v>105</v>
      </c>
      <c r="I51" s="56"/>
      <c r="J51" s="56"/>
      <c r="N51" s="56" t="s">
        <v>109</v>
      </c>
      <c r="O51" s="56"/>
      <c r="P51" t="s">
        <v>112</v>
      </c>
      <c r="Q51" t="s">
        <v>113</v>
      </c>
      <c r="R51" t="s">
        <v>114</v>
      </c>
      <c r="S51" t="s">
        <v>115</v>
      </c>
      <c r="T51">
        <v>15</v>
      </c>
      <c r="U51">
        <v>10</v>
      </c>
      <c r="V51">
        <v>5</v>
      </c>
      <c r="W51">
        <v>3</v>
      </c>
    </row>
    <row r="52" spans="1:23" s="9" customFormat="1">
      <c r="A52" s="29" t="s">
        <v>100</v>
      </c>
      <c r="B52" s="29" t="s">
        <v>93</v>
      </c>
      <c r="C52" s="9" t="s">
        <v>80</v>
      </c>
      <c r="D52" s="9" t="s">
        <v>101</v>
      </c>
      <c r="E52" s="9" t="s">
        <v>102</v>
      </c>
      <c r="F52" s="9" t="s">
        <v>103</v>
      </c>
      <c r="G52" s="9" t="s">
        <v>104</v>
      </c>
      <c r="H52" s="31">
        <v>2016</v>
      </c>
      <c r="I52" s="9">
        <v>2021</v>
      </c>
      <c r="J52" s="9">
        <v>2026</v>
      </c>
      <c r="K52" s="9" t="s">
        <v>106</v>
      </c>
      <c r="L52" s="9" t="s">
        <v>107</v>
      </c>
      <c r="M52" s="9" t="s">
        <v>108</v>
      </c>
      <c r="N52" s="9" t="s">
        <v>110</v>
      </c>
      <c r="O52" s="9" t="s">
        <v>111</v>
      </c>
      <c r="P52" s="31">
        <v>1.1599999999999999E-2</v>
      </c>
      <c r="Q52" s="31">
        <v>0.43</v>
      </c>
      <c r="R52" s="31">
        <v>0.35</v>
      </c>
      <c r="S52" s="32">
        <v>1</v>
      </c>
    </row>
    <row r="53" spans="1:23" s="9" customFormat="1">
      <c r="A53" s="30" t="s">
        <v>96</v>
      </c>
      <c r="B53" s="30">
        <v>1411.16</v>
      </c>
      <c r="C53" s="9">
        <f>B53*19</f>
        <v>26812.04</v>
      </c>
      <c r="D53" s="9">
        <f>B53*1.5*10000*0.1*0.55</f>
        <v>1164207.0000000005</v>
      </c>
      <c r="E53" s="9">
        <f>1.5*10000*0.1*0.55</f>
        <v>825.00000000000011</v>
      </c>
      <c r="F53" s="10">
        <f>B53*E53</f>
        <v>1164207.0000000002</v>
      </c>
      <c r="G53" s="10">
        <f>F53*44/12</f>
        <v>4268759.0000000009</v>
      </c>
      <c r="K53" s="9" t="s">
        <v>116</v>
      </c>
      <c r="L53" s="9" t="s">
        <v>117</v>
      </c>
      <c r="M53" s="9">
        <v>1057.3499999999999</v>
      </c>
      <c r="N53" s="10">
        <f t="shared" ref="N53:O56" si="2">F53</f>
        <v>1164207.0000000002</v>
      </c>
      <c r="O53" s="9">
        <f t="shared" si="2"/>
        <v>4268759.0000000009</v>
      </c>
      <c r="P53" s="9">
        <f>O57*P52</f>
        <v>91331.569978000014</v>
      </c>
      <c r="Q53" s="9">
        <f>P57*Q52</f>
        <v>39272.575090540005</v>
      </c>
      <c r="R53" s="9">
        <f t="shared" ref="R53:S53" si="3">Q57*R52</f>
        <v>13745.401281689001</v>
      </c>
      <c r="S53" s="9">
        <f t="shared" si="3"/>
        <v>13745.401281689001</v>
      </c>
      <c r="T53" s="9">
        <f>S53*15*18000</f>
        <v>3711258346.0560303</v>
      </c>
      <c r="U53" s="9">
        <f>S53*U51*18000</f>
        <v>2474172230.70402</v>
      </c>
      <c r="V53" s="9">
        <f>S53*5*18000</f>
        <v>1237086115.35201</v>
      </c>
      <c r="W53" s="9">
        <f>S53*3*18000</f>
        <v>742251669.21120596</v>
      </c>
    </row>
    <row r="54" spans="1:23" s="9" customFormat="1">
      <c r="A54" s="30" t="s">
        <v>42</v>
      </c>
      <c r="B54" s="30">
        <v>57.6</v>
      </c>
      <c r="C54" s="9">
        <f>B54*35</f>
        <v>2016</v>
      </c>
      <c r="D54" s="9">
        <f>B54*1.5*10000*0.13*0.53</f>
        <v>59529.600000000006</v>
      </c>
      <c r="E54" s="9">
        <f>1.5*10000*0.13*0.53</f>
        <v>1033.5</v>
      </c>
      <c r="F54" s="10">
        <f t="shared" ref="F54:F56" si="4">B54*E54</f>
        <v>59529.599999999999</v>
      </c>
      <c r="G54" s="10">
        <f t="shared" ref="G54:G56" si="5">F54*44/12</f>
        <v>218275.19999999998</v>
      </c>
      <c r="N54" s="10">
        <f t="shared" si="2"/>
        <v>59529.599999999999</v>
      </c>
      <c r="O54" s="9">
        <f t="shared" si="2"/>
        <v>218275.19999999998</v>
      </c>
    </row>
    <row r="55" spans="1:23" s="9" customFormat="1">
      <c r="A55" s="30" t="s">
        <v>22</v>
      </c>
      <c r="B55" s="30">
        <v>359.14</v>
      </c>
      <c r="C55" s="9">
        <f>B55*40</f>
        <v>14365.599999999999</v>
      </c>
      <c r="D55" s="9">
        <f>C55*1.5*10000*0.13*0.53</f>
        <v>14846847.6</v>
      </c>
      <c r="E55" s="9">
        <f>1.5*10000*0.13*0.53</f>
        <v>1033.5</v>
      </c>
      <c r="F55" s="10">
        <f t="shared" si="4"/>
        <v>371171.19</v>
      </c>
      <c r="G55" s="10">
        <f t="shared" si="5"/>
        <v>1360961.03</v>
      </c>
      <c r="N55" s="10">
        <f t="shared" si="2"/>
        <v>371171.19</v>
      </c>
      <c r="O55" s="9">
        <f t="shared" si="2"/>
        <v>1360961.03</v>
      </c>
    </row>
    <row r="56" spans="1:23" s="9" customFormat="1">
      <c r="A56" s="30" t="s">
        <v>95</v>
      </c>
      <c r="B56" s="30">
        <v>608.68999999999994</v>
      </c>
      <c r="C56" s="9">
        <f>B56*19</f>
        <v>11565.109999999999</v>
      </c>
      <c r="D56" s="9">
        <f>B56*1.5*10000*0.11*0.55</f>
        <v>552386.17499999993</v>
      </c>
      <c r="E56" s="9">
        <f>C23*10000*0.11*0.55</f>
        <v>907.50000000000011</v>
      </c>
      <c r="F56" s="10">
        <f t="shared" si="4"/>
        <v>552386.17500000005</v>
      </c>
      <c r="G56" s="10">
        <f t="shared" si="5"/>
        <v>2025415.9750000003</v>
      </c>
      <c r="N56" s="10">
        <f t="shared" si="2"/>
        <v>552386.17500000005</v>
      </c>
      <c r="O56" s="9">
        <f t="shared" si="2"/>
        <v>2025415.9750000003</v>
      </c>
    </row>
    <row r="57" spans="1:23" s="9" customFormat="1">
      <c r="A57" s="30" t="s">
        <v>57</v>
      </c>
      <c r="B57" s="30">
        <v>2468.5100000000002</v>
      </c>
      <c r="C57" s="30">
        <f>SUM(C53:C56)</f>
        <v>54758.75</v>
      </c>
      <c r="D57" s="9">
        <f>SUM(D53:D56)</f>
        <v>16622970.375</v>
      </c>
      <c r="E57" s="9">
        <f t="shared" ref="E57:G57" si="6">SUM(E53:E56)</f>
        <v>3799.5</v>
      </c>
      <c r="F57" s="10">
        <f t="shared" si="6"/>
        <v>2147293.9650000003</v>
      </c>
      <c r="G57" s="10">
        <f t="shared" si="6"/>
        <v>7873411.2050000019</v>
      </c>
      <c r="N57" s="10">
        <f t="shared" ref="N57" si="7">SUM(N53:N56)</f>
        <v>2147293.9650000003</v>
      </c>
      <c r="O57" s="10">
        <f t="shared" ref="O57" si="8">SUM(O53:O56)</f>
        <v>7873411.2050000019</v>
      </c>
      <c r="P57" s="10">
        <f t="shared" ref="P57" si="9">SUM(P53:P56)</f>
        <v>91331.569978000014</v>
      </c>
      <c r="Q57" s="10">
        <f>SUM(Q53:Q56)</f>
        <v>39272.575090540005</v>
      </c>
      <c r="R57" s="10">
        <f t="shared" ref="R57" si="10">SUM(R53:R56)</f>
        <v>13745.401281689001</v>
      </c>
      <c r="S57" s="10">
        <f t="shared" ref="S57" si="11">SUM(S53:S56)</f>
        <v>13745.401281689001</v>
      </c>
      <c r="T57" s="10">
        <f t="shared" ref="T57" si="12">SUM(T53:T56)</f>
        <v>3711258346.0560303</v>
      </c>
      <c r="U57" s="10">
        <f t="shared" ref="U57" si="13">SUM(U53:U56)</f>
        <v>2474172230.70402</v>
      </c>
      <c r="V57" s="10">
        <f t="shared" ref="V57" si="14">SUM(V53:V56)</f>
        <v>1237086115.35201</v>
      </c>
      <c r="W57" s="10">
        <f t="shared" ref="W57" si="15">SUM(W53:W56)</f>
        <v>742251669.21120596</v>
      </c>
    </row>
    <row r="59" spans="1:23">
      <c r="A59" s="55" t="s">
        <v>99</v>
      </c>
      <c r="B59" s="55"/>
      <c r="H59" s="56" t="s">
        <v>105</v>
      </c>
      <c r="I59" s="56"/>
      <c r="J59" s="56"/>
      <c r="N59" s="56" t="s">
        <v>109</v>
      </c>
      <c r="O59" s="56"/>
      <c r="P59" t="s">
        <v>112</v>
      </c>
      <c r="Q59" t="s">
        <v>113</v>
      </c>
      <c r="R59" t="s">
        <v>114</v>
      </c>
      <c r="S59" t="s">
        <v>115</v>
      </c>
      <c r="T59">
        <v>15</v>
      </c>
      <c r="U59">
        <v>10</v>
      </c>
      <c r="V59">
        <v>5</v>
      </c>
      <c r="W59">
        <v>3</v>
      </c>
    </row>
    <row r="60" spans="1:23" s="9" customFormat="1">
      <c r="A60" s="29" t="s">
        <v>100</v>
      </c>
      <c r="B60" s="29" t="s">
        <v>93</v>
      </c>
      <c r="C60" s="9" t="s">
        <v>80</v>
      </c>
      <c r="D60" s="9" t="s">
        <v>101</v>
      </c>
      <c r="E60" s="9" t="s">
        <v>102</v>
      </c>
      <c r="F60" s="9" t="s">
        <v>103</v>
      </c>
      <c r="G60" s="9" t="s">
        <v>104</v>
      </c>
      <c r="H60" s="31">
        <v>2016</v>
      </c>
      <c r="I60" s="31">
        <v>2021</v>
      </c>
      <c r="J60" s="31">
        <v>2026</v>
      </c>
      <c r="K60" s="9" t="s">
        <v>106</v>
      </c>
      <c r="L60" s="9" t="s">
        <v>107</v>
      </c>
      <c r="M60" s="9" t="s">
        <v>108</v>
      </c>
      <c r="N60" s="9" t="s">
        <v>110</v>
      </c>
      <c r="O60" s="9" t="s">
        <v>111</v>
      </c>
      <c r="P60" s="31">
        <v>1.1599999999999999E-2</v>
      </c>
      <c r="Q60" s="31">
        <v>0.43</v>
      </c>
      <c r="R60" s="31">
        <v>0.35</v>
      </c>
      <c r="S60" s="32">
        <v>0.6</v>
      </c>
    </row>
    <row r="61" spans="1:23" s="9" customFormat="1">
      <c r="A61" s="30" t="s">
        <v>96</v>
      </c>
      <c r="B61" s="30">
        <v>1411.16</v>
      </c>
      <c r="C61" s="9">
        <f>B61*98.84</f>
        <v>139479.05440000002</v>
      </c>
      <c r="D61" s="9">
        <f>B61*1.5*10000*0.1*0.55</f>
        <v>1164207.0000000005</v>
      </c>
      <c r="E61" s="9">
        <f>1.5*10000*0.1*0.55</f>
        <v>825.00000000000011</v>
      </c>
      <c r="F61" s="10">
        <f>B61*E61</f>
        <v>1164207.0000000002</v>
      </c>
      <c r="G61" s="10">
        <f>F61*44/12</f>
        <v>4268759.0000000009</v>
      </c>
      <c r="K61" s="9" t="s">
        <v>116</v>
      </c>
      <c r="L61" s="9" t="s">
        <v>117</v>
      </c>
      <c r="M61" s="9">
        <v>1057.3499999999999</v>
      </c>
      <c r="N61" s="10">
        <f t="shared" ref="N61:O64" si="16">F61</f>
        <v>1164207.0000000002</v>
      </c>
      <c r="O61" s="9">
        <f t="shared" si="16"/>
        <v>4268759.0000000009</v>
      </c>
      <c r="P61" s="9">
        <f>O65*P60</f>
        <v>91331.569978000014</v>
      </c>
      <c r="Q61" s="9">
        <f>P65*Q60</f>
        <v>39272.575090540005</v>
      </c>
      <c r="R61" s="9">
        <f t="shared" ref="R61" si="17">Q65*R60</f>
        <v>13745.401281689001</v>
      </c>
      <c r="S61" s="9">
        <f t="shared" ref="S61" si="18">R65*S60</f>
        <v>8247.2407690134005</v>
      </c>
      <c r="T61" s="9">
        <f>S61*15*18000</f>
        <v>2226755007.6336184</v>
      </c>
      <c r="U61" s="9">
        <f>S61*U59*18000</f>
        <v>1484503338.4224119</v>
      </c>
      <c r="V61" s="9">
        <f>S61*5*18000</f>
        <v>742251669.21120596</v>
      </c>
      <c r="W61" s="9">
        <f>S61*3*18000</f>
        <v>445351001.52672368</v>
      </c>
    </row>
    <row r="62" spans="1:23" s="9" customFormat="1">
      <c r="A62" s="30" t="s">
        <v>42</v>
      </c>
      <c r="B62" s="30">
        <v>57.6</v>
      </c>
      <c r="C62" s="9">
        <f>B62*2.5</f>
        <v>144</v>
      </c>
      <c r="D62" s="9">
        <f>B62*1.5*10000*0.13*0.53</f>
        <v>59529.600000000006</v>
      </c>
      <c r="E62" s="9">
        <f>1.5*10000*0.13*0.53</f>
        <v>1033.5</v>
      </c>
      <c r="F62" s="10">
        <f t="shared" ref="F62:F64" si="19">B62*E62</f>
        <v>59529.599999999999</v>
      </c>
      <c r="G62" s="10">
        <f t="shared" ref="G62:G64" si="20">F62*44/12</f>
        <v>218275.19999999998</v>
      </c>
      <c r="N62" s="10">
        <f t="shared" si="16"/>
        <v>59529.599999999999</v>
      </c>
      <c r="O62" s="9">
        <f t="shared" si="16"/>
        <v>218275.19999999998</v>
      </c>
    </row>
    <row r="63" spans="1:23" s="9" customFormat="1">
      <c r="A63" s="30" t="s">
        <v>22</v>
      </c>
      <c r="B63" s="30">
        <v>359.14</v>
      </c>
      <c r="C63" s="9">
        <f>B63*63</f>
        <v>22625.82</v>
      </c>
      <c r="D63" s="9">
        <f>C63*1.5*10000*0.13*0.53</f>
        <v>23383784.969999999</v>
      </c>
      <c r="E63" s="9">
        <f>1.5*10000*0.13*0.53</f>
        <v>1033.5</v>
      </c>
      <c r="F63" s="10">
        <f t="shared" si="19"/>
        <v>371171.19</v>
      </c>
      <c r="G63" s="10">
        <f t="shared" si="20"/>
        <v>1360961.03</v>
      </c>
      <c r="N63" s="10">
        <f t="shared" si="16"/>
        <v>371171.19</v>
      </c>
      <c r="O63" s="9">
        <f t="shared" si="16"/>
        <v>1360961.03</v>
      </c>
    </row>
    <row r="64" spans="1:23" s="9" customFormat="1">
      <c r="A64" s="30" t="s">
        <v>95</v>
      </c>
      <c r="B64" s="30">
        <v>608.68999999999994</v>
      </c>
      <c r="C64" s="9">
        <f>B64*30</f>
        <v>18260.699999999997</v>
      </c>
      <c r="D64" s="9">
        <f>B64*1.5*10000*0.11*0.55</f>
        <v>552386.17499999993</v>
      </c>
      <c r="E64" s="9">
        <f>C31*10000*0.11*0.55</f>
        <v>907.50000000000011</v>
      </c>
      <c r="F64" s="10">
        <f t="shared" si="19"/>
        <v>552386.17500000005</v>
      </c>
      <c r="G64" s="10">
        <f t="shared" si="20"/>
        <v>2025415.9750000003</v>
      </c>
      <c r="N64" s="10">
        <f t="shared" si="16"/>
        <v>552386.17500000005</v>
      </c>
      <c r="O64" s="9">
        <f t="shared" si="16"/>
        <v>2025415.9750000003</v>
      </c>
    </row>
    <row r="65" spans="1:23" s="9" customFormat="1">
      <c r="A65" s="30" t="s">
        <v>57</v>
      </c>
      <c r="B65" s="30">
        <v>2468.5100000000002</v>
      </c>
      <c r="C65" s="30">
        <f>SUM(C61:C64)</f>
        <v>180509.57440000004</v>
      </c>
      <c r="D65" s="9">
        <f>SUM(D61:D64)</f>
        <v>25159907.745000001</v>
      </c>
      <c r="E65" s="9">
        <f t="shared" ref="E65" si="21">SUM(E61:E64)</f>
        <v>3799.5</v>
      </c>
      <c r="F65" s="10">
        <f t="shared" ref="F65" si="22">SUM(F61:F64)</f>
        <v>2147293.9650000003</v>
      </c>
      <c r="G65" s="10">
        <f t="shared" ref="G65" si="23">SUM(G61:G64)</f>
        <v>7873411.2050000019</v>
      </c>
      <c r="N65" s="10">
        <f t="shared" ref="N65" si="24">SUM(N61:N64)</f>
        <v>2147293.9650000003</v>
      </c>
      <c r="O65" s="10">
        <f t="shared" ref="O65" si="25">SUM(O61:O64)</f>
        <v>7873411.2050000019</v>
      </c>
      <c r="P65" s="10">
        <f t="shared" ref="P65" si="26">SUM(P61:P64)</f>
        <v>91331.569978000014</v>
      </c>
      <c r="Q65" s="10">
        <f>SUM(Q61:Q64)</f>
        <v>39272.575090540005</v>
      </c>
      <c r="R65" s="10">
        <f t="shared" ref="R65" si="27">SUM(R61:R64)</f>
        <v>13745.401281689001</v>
      </c>
      <c r="S65" s="10">
        <f t="shared" ref="S65" si="28">SUM(S61:S64)</f>
        <v>8247.2407690134005</v>
      </c>
      <c r="T65" s="10">
        <f t="shared" ref="T65" si="29">SUM(T61:T64)</f>
        <v>2226755007.6336184</v>
      </c>
      <c r="U65" s="10">
        <f t="shared" ref="U65" si="30">SUM(U61:U64)</f>
        <v>1484503338.4224119</v>
      </c>
      <c r="V65" s="10">
        <f t="shared" ref="V65" si="31">SUM(V61:V64)</f>
        <v>742251669.21120596</v>
      </c>
      <c r="W65" s="10">
        <f t="shared" ref="W65" si="32">SUM(W61:W64)</f>
        <v>445351001.52672368</v>
      </c>
    </row>
  </sheetData>
  <mergeCells count="7">
    <mergeCell ref="A6:E6"/>
    <mergeCell ref="A51:B51"/>
    <mergeCell ref="H51:J51"/>
    <mergeCell ref="N51:O51"/>
    <mergeCell ref="A59:B59"/>
    <mergeCell ref="H59:J59"/>
    <mergeCell ref="N59:O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1764-15A9-40C6-BE5E-8091EC538669}">
  <dimension ref="A6:X69"/>
  <sheetViews>
    <sheetView tabSelected="1" topLeftCell="B49" workbookViewId="0">
      <selection activeCell="F58" sqref="F58"/>
    </sheetView>
  </sheetViews>
  <sheetFormatPr defaultRowHeight="15.6"/>
  <cols>
    <col min="1" max="1" width="25.69921875" bestFit="1" customWidth="1"/>
    <col min="2" max="2" width="15.69921875" bestFit="1" customWidth="1"/>
    <col min="3" max="3" width="16.3984375" bestFit="1" customWidth="1"/>
    <col min="4" max="4" width="19.5" bestFit="1" customWidth="1"/>
    <col min="5" max="5" width="12.8984375" bestFit="1" customWidth="1"/>
    <col min="6" max="6" width="17.796875" bestFit="1" customWidth="1"/>
    <col min="7" max="7" width="15.69921875" bestFit="1" customWidth="1"/>
    <col min="8" max="8" width="12.796875" bestFit="1" customWidth="1"/>
    <col min="9" max="9" width="16.296875" bestFit="1" customWidth="1"/>
    <col min="10" max="10" width="18.296875" bestFit="1" customWidth="1"/>
    <col min="11" max="11" width="21.09765625" bestFit="1" customWidth="1"/>
    <col min="12" max="12" width="15.3984375" bestFit="1" customWidth="1"/>
    <col min="13" max="13" width="12.59765625" bestFit="1" customWidth="1"/>
    <col min="14" max="14" width="14.296875" bestFit="1" customWidth="1"/>
    <col min="15" max="16" width="12.796875" bestFit="1" customWidth="1"/>
    <col min="17" max="18" width="12.8984375" bestFit="1" customWidth="1"/>
    <col min="19" max="20" width="12.296875" bestFit="1" customWidth="1"/>
    <col min="21" max="21" width="18.59765625" bestFit="1" customWidth="1"/>
    <col min="22" max="24" width="17.59765625" bestFit="1" customWidth="1"/>
  </cols>
  <sheetData>
    <row r="6" spans="1:11">
      <c r="A6" s="58" t="s">
        <v>99</v>
      </c>
      <c r="B6" s="58"/>
      <c r="C6" s="58" t="s">
        <v>125</v>
      </c>
      <c r="D6" s="58"/>
      <c r="E6" s="58" t="s">
        <v>126</v>
      </c>
      <c r="F6" s="58"/>
      <c r="G6" s="5"/>
      <c r="H6" s="5"/>
      <c r="I6" s="5"/>
      <c r="J6" s="5"/>
      <c r="K6" s="5"/>
    </row>
    <row r="7" spans="1:11">
      <c r="A7" s="39" t="s">
        <v>100</v>
      </c>
      <c r="B7" s="39" t="s">
        <v>93</v>
      </c>
      <c r="C7" s="39" t="s">
        <v>100</v>
      </c>
      <c r="D7" s="39" t="s">
        <v>93</v>
      </c>
      <c r="E7" s="39" t="s">
        <v>100</v>
      </c>
      <c r="F7" s="39" t="s">
        <v>93</v>
      </c>
      <c r="G7" s="4" t="s">
        <v>47</v>
      </c>
      <c r="H7" s="4" t="s">
        <v>50</v>
      </c>
      <c r="I7" s="4"/>
      <c r="J7" s="4" t="s">
        <v>55</v>
      </c>
      <c r="K7" s="4" t="s">
        <v>56</v>
      </c>
    </row>
    <row r="8" spans="1:11">
      <c r="A8" s="40" t="s">
        <v>96</v>
      </c>
      <c r="B8" s="40">
        <v>1411.16</v>
      </c>
      <c r="C8" s="40" t="s">
        <v>96</v>
      </c>
      <c r="D8" s="40">
        <v>1549.28</v>
      </c>
      <c r="E8" s="40" t="s">
        <v>96</v>
      </c>
      <c r="F8" s="40">
        <v>1452.07</v>
      </c>
      <c r="G8" s="4" t="s">
        <v>22</v>
      </c>
      <c r="H8" s="4">
        <v>40</v>
      </c>
      <c r="I8" s="4"/>
      <c r="J8" s="4">
        <v>0.13</v>
      </c>
      <c r="K8" s="4">
        <v>0.53</v>
      </c>
    </row>
    <row r="9" spans="1:11">
      <c r="A9" s="40" t="s">
        <v>42</v>
      </c>
      <c r="B9" s="40">
        <v>57.6</v>
      </c>
      <c r="C9" s="40" t="s">
        <v>22</v>
      </c>
      <c r="D9" s="40">
        <v>26.04</v>
      </c>
      <c r="E9" s="40" t="s">
        <v>22</v>
      </c>
      <c r="F9" s="40">
        <v>6.33</v>
      </c>
      <c r="G9" s="4" t="s">
        <v>48</v>
      </c>
      <c r="H9" s="4">
        <v>35</v>
      </c>
      <c r="I9" s="4"/>
      <c r="J9" s="4">
        <v>0.13</v>
      </c>
      <c r="K9" s="4">
        <v>0.53</v>
      </c>
    </row>
    <row r="10" spans="1:11">
      <c r="A10" s="40" t="s">
        <v>22</v>
      </c>
      <c r="B10" s="40">
        <v>359.14</v>
      </c>
      <c r="C10" s="40" t="s">
        <v>98</v>
      </c>
      <c r="D10" s="40">
        <v>3.91</v>
      </c>
      <c r="E10" s="40" t="s">
        <v>98</v>
      </c>
      <c r="F10" s="40">
        <v>10.23</v>
      </c>
      <c r="G10" s="4" t="s">
        <v>49</v>
      </c>
      <c r="H10" s="4">
        <v>19</v>
      </c>
      <c r="I10" s="4"/>
      <c r="J10" s="4">
        <v>0.1</v>
      </c>
      <c r="K10" s="4">
        <v>0.55000000000000004</v>
      </c>
    </row>
    <row r="11" spans="1:11">
      <c r="A11" s="40" t="s">
        <v>95</v>
      </c>
      <c r="B11" s="40">
        <v>608.69000000000005</v>
      </c>
      <c r="C11" s="40" t="s">
        <v>95</v>
      </c>
      <c r="D11" s="40">
        <v>857.33</v>
      </c>
      <c r="E11" s="40" t="s">
        <v>95</v>
      </c>
      <c r="F11" s="40">
        <v>967.94</v>
      </c>
      <c r="G11" s="4" t="s">
        <v>46</v>
      </c>
      <c r="H11" s="4">
        <v>19</v>
      </c>
      <c r="I11" s="4"/>
      <c r="J11" s="4">
        <v>0.11</v>
      </c>
      <c r="K11" s="4">
        <v>0.55000000000000004</v>
      </c>
    </row>
    <row r="12" spans="1:11">
      <c r="A12" s="40" t="s">
        <v>97</v>
      </c>
      <c r="B12" s="40">
        <v>31.92</v>
      </c>
      <c r="C12" s="40" t="s">
        <v>97</v>
      </c>
      <c r="D12" s="40">
        <v>31.92</v>
      </c>
      <c r="E12" s="40" t="s">
        <v>97</v>
      </c>
      <c r="F12" s="40">
        <v>31.92</v>
      </c>
    </row>
    <row r="13" spans="1:11">
      <c r="A13" s="41" t="s">
        <v>57</v>
      </c>
      <c r="B13" s="41">
        <v>2468.5100000000002</v>
      </c>
      <c r="C13" s="40" t="s">
        <v>57</v>
      </c>
      <c r="D13" s="40">
        <v>2468.48</v>
      </c>
      <c r="E13" s="40" t="s">
        <v>57</v>
      </c>
      <c r="F13" s="40">
        <v>2468.4899999999998</v>
      </c>
      <c r="G13" s="4" t="s">
        <v>47</v>
      </c>
      <c r="H13" s="4">
        <v>50</v>
      </c>
      <c r="I13" s="4"/>
      <c r="J13" s="4" t="s">
        <v>25</v>
      </c>
      <c r="K13" s="4" t="s">
        <v>29</v>
      </c>
    </row>
    <row r="14" spans="1:11">
      <c r="G14" s="4" t="s">
        <v>22</v>
      </c>
      <c r="H14" s="4">
        <v>0.11</v>
      </c>
      <c r="I14" s="4"/>
      <c r="J14" s="4">
        <v>0.08</v>
      </c>
      <c r="K14" s="4">
        <v>0.06</v>
      </c>
    </row>
    <row r="15" spans="1:11">
      <c r="A15" s="33" t="s">
        <v>118</v>
      </c>
      <c r="B15" s="33" t="s">
        <v>119</v>
      </c>
      <c r="G15" s="4" t="s">
        <v>48</v>
      </c>
      <c r="H15" s="4">
        <v>0.11</v>
      </c>
      <c r="I15" s="4"/>
      <c r="J15" s="4">
        <v>0.08</v>
      </c>
      <c r="K15" s="4">
        <v>0.06</v>
      </c>
    </row>
    <row r="16" spans="1:11">
      <c r="A16" s="34" t="s">
        <v>120</v>
      </c>
      <c r="B16" s="34">
        <v>55.22</v>
      </c>
      <c r="C16" s="43"/>
      <c r="D16" s="42"/>
      <c r="E16" s="42"/>
      <c r="G16" s="4" t="s">
        <v>49</v>
      </c>
      <c r="H16" s="4">
        <v>0.11</v>
      </c>
      <c r="I16" s="4"/>
      <c r="J16" s="4">
        <v>0.08</v>
      </c>
      <c r="K16" s="4">
        <v>0.06</v>
      </c>
    </row>
    <row r="17" spans="1:24">
      <c r="A17" s="34" t="s">
        <v>121</v>
      </c>
      <c r="B17" s="34">
        <v>7.8449999999999998</v>
      </c>
      <c r="C17" s="42"/>
      <c r="D17" s="42"/>
      <c r="E17" s="42"/>
      <c r="G17" s="4" t="s">
        <v>46</v>
      </c>
      <c r="H17" s="4">
        <v>0.11</v>
      </c>
      <c r="I17" s="4"/>
      <c r="J17" s="4">
        <v>0.08</v>
      </c>
      <c r="K17" s="4">
        <v>0.06</v>
      </c>
    </row>
    <row r="18" spans="1:24">
      <c r="A18" s="34" t="s">
        <v>122</v>
      </c>
      <c r="B18" s="34">
        <v>19.806000000000001</v>
      </c>
      <c r="C18" s="42"/>
      <c r="D18" s="42"/>
      <c r="E18" s="42"/>
    </row>
    <row r="19" spans="1:24">
      <c r="A19" s="35" t="s">
        <v>57</v>
      </c>
      <c r="B19" s="35">
        <f>SUM(B16:B18)</f>
        <v>82.870999999999995</v>
      </c>
      <c r="C19" s="42"/>
      <c r="D19" s="42"/>
      <c r="E19" s="42"/>
    </row>
    <row r="20" spans="1:24">
      <c r="A20" s="36"/>
      <c r="B20" s="37"/>
      <c r="C20" s="11"/>
      <c r="D20" s="15"/>
      <c r="E20" s="15"/>
    </row>
    <row r="21" spans="1:24">
      <c r="A21" s="35" t="s">
        <v>123</v>
      </c>
      <c r="B21" s="35" t="s">
        <v>119</v>
      </c>
      <c r="C21" s="42"/>
      <c r="D21" s="42"/>
      <c r="E21" s="42"/>
    </row>
    <row r="22" spans="1:24">
      <c r="A22" s="38" t="s">
        <v>124</v>
      </c>
      <c r="B22" s="38">
        <v>41.939</v>
      </c>
      <c r="C22" s="42"/>
      <c r="D22" s="42"/>
      <c r="E22" s="42"/>
    </row>
    <row r="23" spans="1:24">
      <c r="A23" s="35" t="s">
        <v>57</v>
      </c>
      <c r="B23" s="35">
        <f>B22</f>
        <v>41.939</v>
      </c>
    </row>
    <row r="25" spans="1:24">
      <c r="A25" t="s">
        <v>84</v>
      </c>
      <c r="B25" s="22" t="s">
        <v>83</v>
      </c>
      <c r="C25" s="8" t="s">
        <v>80</v>
      </c>
      <c r="D25" s="8" t="s">
        <v>81</v>
      </c>
      <c r="E25" s="8" t="s">
        <v>82</v>
      </c>
      <c r="F25" s="26"/>
    </row>
    <row r="26" spans="1:24">
      <c r="A26">
        <v>1</v>
      </c>
      <c r="B26" s="23">
        <f>B36</f>
        <v>2468.5100000000002</v>
      </c>
      <c r="C26" s="53">
        <f>C36</f>
        <v>54758.75</v>
      </c>
      <c r="D26" s="53">
        <f>F36</f>
        <v>1315758.6000000001</v>
      </c>
      <c r="E26" s="53">
        <f>G36</f>
        <v>4824448.2</v>
      </c>
    </row>
    <row r="27" spans="1:24">
      <c r="D27" s="26"/>
      <c r="E27" s="26"/>
      <c r="J27" s="26"/>
    </row>
    <row r="29" spans="1:24" ht="64.2" customHeight="1">
      <c r="A29" s="55" t="s">
        <v>99</v>
      </c>
      <c r="B29" s="55"/>
      <c r="H29" s="56" t="s">
        <v>105</v>
      </c>
      <c r="I29" s="56"/>
      <c r="J29" s="56"/>
      <c r="K29" s="56"/>
      <c r="O29" s="56" t="s">
        <v>109</v>
      </c>
      <c r="P29" s="56"/>
      <c r="Q29" s="52" t="s">
        <v>112</v>
      </c>
      <c r="R29" s="52" t="s">
        <v>113</v>
      </c>
      <c r="S29" s="52" t="s">
        <v>114</v>
      </c>
      <c r="T29" s="52" t="s">
        <v>115</v>
      </c>
      <c r="U29" s="57" t="s">
        <v>127</v>
      </c>
      <c r="V29" s="57" t="s">
        <v>128</v>
      </c>
      <c r="W29" s="57" t="s">
        <v>129</v>
      </c>
      <c r="X29" s="57" t="s">
        <v>130</v>
      </c>
    </row>
    <row r="30" spans="1:24" s="9" customFormat="1">
      <c r="A30" s="29" t="s">
        <v>100</v>
      </c>
      <c r="B30" s="29" t="s">
        <v>93</v>
      </c>
      <c r="C30" s="9" t="s">
        <v>80</v>
      </c>
      <c r="D30" s="9" t="s">
        <v>101</v>
      </c>
      <c r="E30" s="9" t="s">
        <v>102</v>
      </c>
      <c r="F30" s="9" t="s">
        <v>103</v>
      </c>
      <c r="G30" s="9" t="s">
        <v>104</v>
      </c>
      <c r="H30" s="31">
        <v>2016</v>
      </c>
      <c r="I30" s="31"/>
      <c r="J30" s="31">
        <v>2021</v>
      </c>
      <c r="K30" s="31">
        <v>2026</v>
      </c>
      <c r="L30" s="9" t="s">
        <v>106</v>
      </c>
      <c r="M30" s="9" t="s">
        <v>107</v>
      </c>
      <c r="N30" s="9" t="s">
        <v>108</v>
      </c>
      <c r="O30" s="9" t="s">
        <v>110</v>
      </c>
      <c r="P30" s="9" t="s">
        <v>111</v>
      </c>
      <c r="Q30" s="51">
        <v>1.1599999999999999E-2</v>
      </c>
      <c r="R30" s="51">
        <v>0.43</v>
      </c>
      <c r="S30" s="51" t="s">
        <v>132</v>
      </c>
      <c r="T30" s="51">
        <v>0.6</v>
      </c>
      <c r="U30" s="57"/>
      <c r="V30" s="57"/>
      <c r="W30" s="57"/>
      <c r="X30" s="57"/>
    </row>
    <row r="31" spans="1:24" s="27" customFormat="1">
      <c r="A31" s="28" t="s">
        <v>96</v>
      </c>
      <c r="B31" s="28">
        <v>1411.16</v>
      </c>
      <c r="C31" s="27">
        <f>B31*19</f>
        <v>26812.04</v>
      </c>
      <c r="D31" s="27">
        <f>B31*1*10000*0.1*0.45</f>
        <v>635022</v>
      </c>
      <c r="E31" s="27">
        <f>1.5*10000*0.08*0.45</f>
        <v>540</v>
      </c>
      <c r="F31" s="27">
        <f>B31*E31</f>
        <v>762026.4</v>
      </c>
      <c r="G31" s="27">
        <f>F31*44/12</f>
        <v>2794096.8000000003</v>
      </c>
      <c r="H31" s="27">
        <f>F8</f>
        <v>1452.07</v>
      </c>
      <c r="J31" s="27">
        <f>D8</f>
        <v>1549.28</v>
      </c>
      <c r="K31" s="27">
        <f>B8</f>
        <v>1411.16</v>
      </c>
      <c r="L31" s="27" t="s">
        <v>116</v>
      </c>
      <c r="M31" s="27" t="s">
        <v>117</v>
      </c>
      <c r="N31" s="27">
        <v>1057.3499999999999</v>
      </c>
      <c r="O31" s="27">
        <f t="shared" ref="O31:P34" si="0">F31</f>
        <v>762026.4</v>
      </c>
      <c r="P31" s="27">
        <f t="shared" si="0"/>
        <v>2794096.8000000003</v>
      </c>
      <c r="Q31" s="49">
        <f>P37*Q30</f>
        <v>22.671003609464815</v>
      </c>
      <c r="R31" s="49">
        <f>Q36*R30</f>
        <v>9.7485315520698705</v>
      </c>
      <c r="S31" s="49">
        <f>R36*(1-35%)</f>
        <v>6.3365455088454157</v>
      </c>
      <c r="T31" s="49">
        <f>S36*T30</f>
        <v>3.8019273053072493</v>
      </c>
      <c r="U31" s="27">
        <f>T31*15*16000</f>
        <v>912462.55327373976</v>
      </c>
      <c r="V31" s="27">
        <f>T31*10*16000</f>
        <v>608308.36884915992</v>
      </c>
      <c r="W31" s="27">
        <f>T31*5*16000</f>
        <v>304154.18442457996</v>
      </c>
      <c r="X31" s="27">
        <f>T31*3*16000</f>
        <v>182492.51065474798</v>
      </c>
    </row>
    <row r="32" spans="1:24" s="27" customFormat="1">
      <c r="A32" s="28" t="s">
        <v>42</v>
      </c>
      <c r="B32" s="28">
        <v>57.6</v>
      </c>
      <c r="C32" s="27">
        <f>B32*35</f>
        <v>2016</v>
      </c>
      <c r="D32" s="27">
        <f>B32*1*10000*0.1*0.45</f>
        <v>25920</v>
      </c>
      <c r="E32" s="27">
        <f>1.5*10000*0.08*0.45</f>
        <v>540</v>
      </c>
      <c r="F32" s="27">
        <f>B32*E32</f>
        <v>31104</v>
      </c>
      <c r="G32" s="27">
        <f>F32*44/12</f>
        <v>114048</v>
      </c>
      <c r="O32" s="27">
        <f t="shared" si="0"/>
        <v>31104</v>
      </c>
      <c r="P32" s="27">
        <f t="shared" si="0"/>
        <v>114048</v>
      </c>
      <c r="Q32" s="49"/>
      <c r="R32" s="49"/>
      <c r="S32" s="49"/>
      <c r="T32" s="49"/>
    </row>
    <row r="33" spans="1:24" s="27" customFormat="1">
      <c r="A33" s="28" t="s">
        <v>22</v>
      </c>
      <c r="B33" s="28">
        <v>359.14</v>
      </c>
      <c r="C33" s="27">
        <f>B33*40</f>
        <v>14365.599999999999</v>
      </c>
      <c r="D33" s="27">
        <f>C33*1*10000*0.1*0.45</f>
        <v>6464520</v>
      </c>
      <c r="E33" s="27">
        <f>1.5*10000*0.08*0.45</f>
        <v>540</v>
      </c>
      <c r="F33" s="27">
        <f t="shared" ref="F33:F34" si="1">B33*E33</f>
        <v>193935.6</v>
      </c>
      <c r="G33" s="27">
        <f t="shared" ref="G33:G34" si="2">F33*44/12</f>
        <v>711097.20000000007</v>
      </c>
      <c r="O33" s="27">
        <f t="shared" si="0"/>
        <v>193935.6</v>
      </c>
      <c r="P33" s="27">
        <f t="shared" si="0"/>
        <v>711097.20000000007</v>
      </c>
      <c r="Q33" s="49"/>
      <c r="R33" s="49"/>
      <c r="S33" s="49"/>
      <c r="T33" s="49"/>
    </row>
    <row r="34" spans="1:24" s="27" customFormat="1">
      <c r="A34" s="28" t="s">
        <v>95</v>
      </c>
      <c r="B34" s="28">
        <v>608.68999999999994</v>
      </c>
      <c r="C34" s="27">
        <f>B34*19</f>
        <v>11565.109999999999</v>
      </c>
      <c r="D34" s="27">
        <f>B34*1*10000*0.1*45</f>
        <v>27391049.999999996</v>
      </c>
      <c r="E34" s="27">
        <f>1.5*10000*0.08*0.45</f>
        <v>540</v>
      </c>
      <c r="F34" s="27">
        <f t="shared" si="1"/>
        <v>328692.59999999998</v>
      </c>
      <c r="G34" s="27">
        <f t="shared" si="2"/>
        <v>1205206.2</v>
      </c>
      <c r="O34" s="27">
        <f t="shared" si="0"/>
        <v>328692.59999999998</v>
      </c>
      <c r="P34" s="27">
        <f t="shared" si="0"/>
        <v>1205206.2</v>
      </c>
      <c r="Q34" s="49"/>
      <c r="R34" s="49"/>
      <c r="S34" s="49"/>
      <c r="T34" s="49"/>
    </row>
    <row r="35" spans="1:24" s="27" customFormat="1">
      <c r="A35" s="50" t="s">
        <v>97</v>
      </c>
      <c r="B35" s="50">
        <v>31.92</v>
      </c>
      <c r="Q35" s="49"/>
      <c r="R35" s="49"/>
      <c r="S35" s="49"/>
      <c r="T35" s="49"/>
    </row>
    <row r="36" spans="1:24" s="27" customFormat="1">
      <c r="A36" s="28" t="s">
        <v>57</v>
      </c>
      <c r="B36" s="28">
        <v>2468.5100000000002</v>
      </c>
      <c r="C36" s="28">
        <f>SUM(C31:C34)</f>
        <v>54758.75</v>
      </c>
      <c r="D36" s="27">
        <f>SUM(D31:D34)</f>
        <v>34516512</v>
      </c>
      <c r="E36" s="27">
        <f>SUM(E31:E34)</f>
        <v>2160</v>
      </c>
      <c r="F36" s="27">
        <f>SUM(F31:F34)</f>
        <v>1315758.6000000001</v>
      </c>
      <c r="G36" s="27">
        <f>SUM(G31:G34)</f>
        <v>4824448.2</v>
      </c>
      <c r="O36" s="27">
        <f t="shared" ref="O36:X36" si="3">SUM(O31:O34)</f>
        <v>1315758.6000000001</v>
      </c>
      <c r="P36" s="27">
        <f t="shared" si="3"/>
        <v>4824448.2</v>
      </c>
      <c r="Q36" s="49">
        <f t="shared" si="3"/>
        <v>22.671003609464815</v>
      </c>
      <c r="R36" s="49">
        <f t="shared" si="3"/>
        <v>9.7485315520698705</v>
      </c>
      <c r="S36" s="49">
        <f t="shared" si="3"/>
        <v>6.3365455088454157</v>
      </c>
      <c r="T36" s="49">
        <f t="shared" si="3"/>
        <v>3.8019273053072493</v>
      </c>
      <c r="U36" s="27">
        <f t="shared" si="3"/>
        <v>912462.55327373976</v>
      </c>
      <c r="V36" s="27">
        <f t="shared" si="3"/>
        <v>608308.36884915992</v>
      </c>
      <c r="W36" s="27">
        <f t="shared" si="3"/>
        <v>304154.18442457996</v>
      </c>
      <c r="X36" s="27">
        <f t="shared" si="3"/>
        <v>182492.51065474798</v>
      </c>
    </row>
    <row r="37" spans="1:24">
      <c r="P37">
        <f>P36/B36</f>
        <v>1954.3968628848982</v>
      </c>
      <c r="Q37" s="48"/>
      <c r="R37" s="48"/>
      <c r="S37" s="48"/>
      <c r="T37" s="48"/>
      <c r="U37" s="46"/>
      <c r="V37" s="10"/>
      <c r="W37" s="10"/>
      <c r="X37" s="10"/>
    </row>
    <row r="38" spans="1:24">
      <c r="A38" s="67" t="s">
        <v>147</v>
      </c>
      <c r="B38" s="64">
        <f>B32+B33+B34</f>
        <v>1025.4299999999998</v>
      </c>
      <c r="Q38" s="10"/>
      <c r="R38" s="10"/>
      <c r="S38" s="10"/>
      <c r="T38" s="10"/>
      <c r="U38" s="10"/>
      <c r="V38" s="10"/>
      <c r="W38" s="10"/>
      <c r="X38" s="10"/>
    </row>
    <row r="39" spans="1:24" ht="64.2" customHeight="1">
      <c r="A39" s="55" t="s">
        <v>99</v>
      </c>
      <c r="B39" s="55"/>
      <c r="H39" s="56" t="s">
        <v>105</v>
      </c>
      <c r="I39" s="56"/>
      <c r="J39" s="56"/>
      <c r="K39" s="56"/>
      <c r="O39" s="56" t="s">
        <v>109</v>
      </c>
      <c r="P39" s="56"/>
      <c r="Q39" s="44" t="s">
        <v>112</v>
      </c>
      <c r="R39" s="44" t="s">
        <v>113</v>
      </c>
      <c r="S39" s="44" t="s">
        <v>114</v>
      </c>
      <c r="T39" s="44" t="s">
        <v>115</v>
      </c>
      <c r="U39" s="54" t="s">
        <v>127</v>
      </c>
      <c r="V39" s="54" t="s">
        <v>128</v>
      </c>
      <c r="W39" s="54" t="s">
        <v>129</v>
      </c>
      <c r="X39" s="54" t="s">
        <v>130</v>
      </c>
    </row>
    <row r="40" spans="1:24" s="9" customFormat="1">
      <c r="A40" s="29" t="s">
        <v>100</v>
      </c>
      <c r="B40" s="29" t="s">
        <v>93</v>
      </c>
      <c r="C40" s="9" t="s">
        <v>80</v>
      </c>
      <c r="D40" s="9" t="s">
        <v>101</v>
      </c>
      <c r="E40" s="9" t="s">
        <v>102</v>
      </c>
      <c r="F40" s="9" t="s">
        <v>103</v>
      </c>
      <c r="G40" s="9" t="s">
        <v>104</v>
      </c>
      <c r="H40" s="31">
        <v>2016</v>
      </c>
      <c r="I40" s="31"/>
      <c r="J40" s="31">
        <v>2021</v>
      </c>
      <c r="K40" s="31">
        <v>2026</v>
      </c>
      <c r="L40" s="9" t="s">
        <v>106</v>
      </c>
      <c r="M40" s="9" t="s">
        <v>107</v>
      </c>
      <c r="N40" s="9" t="s">
        <v>108</v>
      </c>
      <c r="O40" s="9" t="s">
        <v>110</v>
      </c>
      <c r="P40" s="9" t="s">
        <v>111</v>
      </c>
      <c r="Q40" s="31">
        <v>1.1599999999999999E-2</v>
      </c>
      <c r="R40" s="31">
        <v>0.43</v>
      </c>
      <c r="S40" s="31" t="s">
        <v>131</v>
      </c>
      <c r="T40" s="47">
        <v>1</v>
      </c>
      <c r="U40" s="54"/>
      <c r="V40" s="54"/>
      <c r="W40" s="54"/>
      <c r="X40" s="54"/>
    </row>
    <row r="41" spans="1:24" s="9" customFormat="1">
      <c r="A41" s="30" t="s">
        <v>96</v>
      </c>
      <c r="B41" s="30">
        <v>1411.16</v>
      </c>
      <c r="C41" s="9">
        <f>B41*19</f>
        <v>26812.04</v>
      </c>
      <c r="D41" s="9">
        <f>B41*0.25*10000*0.1*0.2</f>
        <v>70558</v>
      </c>
      <c r="E41" s="9">
        <f>1.5*10000*0.08*0.45</f>
        <v>540</v>
      </c>
      <c r="F41" s="10">
        <f>B41*E41</f>
        <v>762026.4</v>
      </c>
      <c r="G41" s="10">
        <f>F41*44/12</f>
        <v>2794096.8000000003</v>
      </c>
      <c r="H41" s="9">
        <f>H31</f>
        <v>1452.07</v>
      </c>
      <c r="J41" s="9">
        <f>J31</f>
        <v>1549.28</v>
      </c>
      <c r="K41" s="9">
        <f>K31</f>
        <v>1411.16</v>
      </c>
      <c r="L41" s="9">
        <f>138.22+297.93</f>
        <v>436.15</v>
      </c>
      <c r="M41" s="9" t="s">
        <v>117</v>
      </c>
      <c r="N41" s="9">
        <v>1057.3499999999999</v>
      </c>
      <c r="O41" s="10">
        <f t="shared" ref="O41:P44" si="4">F41</f>
        <v>762026.4</v>
      </c>
      <c r="P41" s="9">
        <f t="shared" si="4"/>
        <v>2794096.8000000003</v>
      </c>
      <c r="Q41" s="48">
        <f>P46*Q40</f>
        <v>55963.599119999999</v>
      </c>
      <c r="R41" s="48">
        <f>Q46*R40</f>
        <v>24064.347621599998</v>
      </c>
      <c r="S41" s="48">
        <f>R46*(1-35%)</f>
        <v>15641.825954039999</v>
      </c>
      <c r="T41" s="48">
        <f>S46*T40</f>
        <v>15641.825954039999</v>
      </c>
      <c r="U41" s="48">
        <f>T41*15*16000</f>
        <v>3754038228.9696002</v>
      </c>
      <c r="V41" s="48">
        <f>T41*10*16000</f>
        <v>2502692152.6464</v>
      </c>
      <c r="W41" s="48">
        <f>T41*5*16000</f>
        <v>1251346076.3232</v>
      </c>
      <c r="X41" s="48">
        <f>T41*3*16000</f>
        <v>750807645.79391992</v>
      </c>
    </row>
    <row r="42" spans="1:24" s="9" customFormat="1">
      <c r="A42" s="30" t="s">
        <v>42</v>
      </c>
      <c r="B42" s="30">
        <v>57.6</v>
      </c>
      <c r="C42" s="9">
        <f>B42*35</f>
        <v>2016</v>
      </c>
      <c r="D42" s="9">
        <f>B42*0.25*10000*0.1*0.2</f>
        <v>2880</v>
      </c>
      <c r="E42" s="9">
        <f>1.5*10000*0.08*0.45</f>
        <v>540</v>
      </c>
      <c r="F42" s="10">
        <f>B42*E42</f>
        <v>31104</v>
      </c>
      <c r="G42" s="10">
        <f>F42*44/12</f>
        <v>114048</v>
      </c>
      <c r="L42" s="9">
        <f>L41/5</f>
        <v>87.22999999999999</v>
      </c>
      <c r="O42" s="10">
        <f t="shared" si="4"/>
        <v>31104</v>
      </c>
      <c r="P42" s="9">
        <f t="shared" si="4"/>
        <v>114048</v>
      </c>
      <c r="Q42" s="48"/>
      <c r="R42" s="48"/>
      <c r="S42" s="48"/>
      <c r="T42" s="48"/>
      <c r="U42" s="48"/>
      <c r="V42" s="48"/>
      <c r="W42" s="48"/>
      <c r="X42" s="48"/>
    </row>
    <row r="43" spans="1:24" s="9" customFormat="1">
      <c r="A43" s="30" t="s">
        <v>22</v>
      </c>
      <c r="B43" s="30">
        <v>359.14</v>
      </c>
      <c r="C43" s="9">
        <f>B43*40</f>
        <v>14365.599999999999</v>
      </c>
      <c r="D43" s="9">
        <f>C43*0.25*10000*0.1*0.2</f>
        <v>718280</v>
      </c>
      <c r="E43" s="9">
        <f>1.5*10000*0.08*0.45</f>
        <v>540</v>
      </c>
      <c r="F43" s="10">
        <f t="shared" ref="F43:F44" si="5">B43*E43</f>
        <v>193935.6</v>
      </c>
      <c r="G43" s="10">
        <f t="shared" ref="G43:G44" si="6">F43*44/12</f>
        <v>711097.20000000007</v>
      </c>
      <c r="O43" s="10">
        <f t="shared" si="4"/>
        <v>193935.6</v>
      </c>
      <c r="P43" s="9">
        <f t="shared" si="4"/>
        <v>711097.20000000007</v>
      </c>
      <c r="Q43" s="48"/>
      <c r="R43" s="48"/>
      <c r="S43" s="48"/>
      <c r="T43" s="48"/>
      <c r="U43" s="48"/>
      <c r="V43" s="48"/>
      <c r="W43" s="48"/>
      <c r="X43" s="48"/>
    </row>
    <row r="44" spans="1:24" s="9" customFormat="1">
      <c r="A44" s="30" t="s">
        <v>95</v>
      </c>
      <c r="B44" s="30">
        <v>608.68999999999994</v>
      </c>
      <c r="C44" s="9">
        <f>B44*19</f>
        <v>11565.109999999999</v>
      </c>
      <c r="D44" s="9">
        <f>B44*0.25*10000*0.1*0.2</f>
        <v>30434.499999999996</v>
      </c>
      <c r="E44" s="9">
        <f>1.5*10000*0.08*0.45</f>
        <v>540</v>
      </c>
      <c r="F44" s="10">
        <f t="shared" si="5"/>
        <v>328692.59999999998</v>
      </c>
      <c r="G44" s="10">
        <f t="shared" si="6"/>
        <v>1205206.2</v>
      </c>
      <c r="O44" s="10">
        <f t="shared" si="4"/>
        <v>328692.59999999998</v>
      </c>
      <c r="P44" s="9">
        <f t="shared" si="4"/>
        <v>1205206.2</v>
      </c>
      <c r="Q44" s="48"/>
      <c r="R44" s="48"/>
      <c r="S44" s="48"/>
      <c r="T44" s="48"/>
      <c r="U44" s="48"/>
      <c r="V44" s="48"/>
      <c r="W44" s="48"/>
      <c r="X44" s="48"/>
    </row>
    <row r="45" spans="1:24" s="9" customFormat="1">
      <c r="A45" s="40" t="s">
        <v>97</v>
      </c>
      <c r="B45" s="40">
        <v>31.92</v>
      </c>
      <c r="F45" s="10"/>
      <c r="G45" s="10"/>
      <c r="O45" s="10"/>
      <c r="Q45" s="48"/>
      <c r="R45" s="48"/>
      <c r="S45" s="48"/>
      <c r="T45" s="48"/>
      <c r="U45" s="48"/>
      <c r="V45" s="48"/>
      <c r="W45" s="48"/>
      <c r="X45" s="48"/>
    </row>
    <row r="46" spans="1:24" s="9" customFormat="1">
      <c r="A46" s="30" t="s">
        <v>57</v>
      </c>
      <c r="B46" s="30">
        <v>2468.5100000000002</v>
      </c>
      <c r="C46" s="30">
        <f>SUM(C41:C44)</f>
        <v>54758.75</v>
      </c>
      <c r="D46" s="9">
        <f>SUM(D41:D44)</f>
        <v>822152.5</v>
      </c>
      <c r="E46" s="9">
        <f>SUM(E41:E44)</f>
        <v>2160</v>
      </c>
      <c r="F46" s="10">
        <f>SUM(F41:F44)</f>
        <v>1315758.6000000001</v>
      </c>
      <c r="G46" s="10">
        <f>SUM(G41:G44)</f>
        <v>4824448.2</v>
      </c>
      <c r="O46" s="10">
        <f t="shared" ref="O46:X46" si="7">SUM(O41:O44)</f>
        <v>1315758.6000000001</v>
      </c>
      <c r="P46" s="10">
        <f t="shared" si="7"/>
        <v>4824448.2</v>
      </c>
      <c r="Q46" s="48">
        <f t="shared" si="7"/>
        <v>55963.599119999999</v>
      </c>
      <c r="R46" s="48">
        <f t="shared" si="7"/>
        <v>24064.347621599998</v>
      </c>
      <c r="S46" s="62">
        <f t="shared" si="7"/>
        <v>15641.825954039999</v>
      </c>
      <c r="T46" s="62">
        <f t="shared" si="7"/>
        <v>15641.825954039999</v>
      </c>
      <c r="U46" s="48">
        <f t="shared" si="7"/>
        <v>3754038228.9696002</v>
      </c>
      <c r="V46" s="48">
        <f t="shared" si="7"/>
        <v>2502692152.6464</v>
      </c>
      <c r="W46" s="48">
        <f t="shared" si="7"/>
        <v>1251346076.3232</v>
      </c>
      <c r="X46" s="48">
        <f t="shared" si="7"/>
        <v>750807645.79391992</v>
      </c>
    </row>
    <row r="47" spans="1:24">
      <c r="F47">
        <f>F46/B46</f>
        <v>533.01732624133581</v>
      </c>
      <c r="G47" s="27">
        <f>G46/B46</f>
        <v>1954.3968628848982</v>
      </c>
      <c r="P47" s="27"/>
    </row>
    <row r="49" spans="1:18">
      <c r="A49" t="s">
        <v>134</v>
      </c>
      <c r="B49" t="s">
        <v>135</v>
      </c>
      <c r="C49" t="s">
        <v>136</v>
      </c>
      <c r="D49" t="s">
        <v>137</v>
      </c>
    </row>
    <row r="50" spans="1:18">
      <c r="A50" s="63" t="s">
        <v>138</v>
      </c>
      <c r="B50" t="s">
        <v>139</v>
      </c>
      <c r="C50">
        <f>22291*0.03</f>
        <v>668.73</v>
      </c>
      <c r="D50" s="27">
        <f>2291*3%*0.286*100</f>
        <v>1965.6780000000001</v>
      </c>
      <c r="E50" s="10"/>
      <c r="F50" s="10"/>
    </row>
    <row r="51" spans="1:18">
      <c r="A51" s="27">
        <f>22291*47</f>
        <v>1047677</v>
      </c>
      <c r="B51" s="27">
        <f>6464*0.47</f>
        <v>3038.08</v>
      </c>
      <c r="C51" s="27">
        <f>668.73*0.47</f>
        <v>314.30309999999997</v>
      </c>
      <c r="D51" s="27">
        <f>196568*0.47</f>
        <v>92386.959999999992</v>
      </c>
    </row>
    <row r="52" spans="1:18">
      <c r="A52" s="27">
        <f>A51*44/12</f>
        <v>3841482.3333333335</v>
      </c>
      <c r="B52" s="27">
        <f>B51*44/12</f>
        <v>11139.626666666665</v>
      </c>
      <c r="C52" s="27">
        <f>C51*44/12</f>
        <v>1152.4446999999998</v>
      </c>
      <c r="D52" s="27">
        <f>D51*44/12</f>
        <v>338752.18666666665</v>
      </c>
    </row>
    <row r="53" spans="1:18">
      <c r="A53" s="27"/>
      <c r="B53" s="27"/>
      <c r="C53" s="27"/>
      <c r="D53" s="27"/>
    </row>
    <row r="54" spans="1:18">
      <c r="A54" s="27"/>
      <c r="B54" s="27"/>
      <c r="C54" s="27"/>
      <c r="D54" s="27"/>
    </row>
    <row r="55" spans="1:18" ht="19.8" customHeight="1">
      <c r="A55" s="27"/>
      <c r="B55" s="27"/>
      <c r="C55" s="65" t="s">
        <v>144</v>
      </c>
      <c r="D55" s="65"/>
      <c r="M55" s="56" t="s">
        <v>105</v>
      </c>
      <c r="N55" s="56"/>
      <c r="O55" s="56"/>
      <c r="P55" s="56"/>
    </row>
    <row r="56" spans="1:18" ht="46.8" customHeight="1">
      <c r="B56" t="s">
        <v>141</v>
      </c>
      <c r="C56" t="s">
        <v>142</v>
      </c>
      <c r="D56" t="s">
        <v>143</v>
      </c>
      <c r="E56" s="44" t="s">
        <v>112</v>
      </c>
      <c r="F56" s="44" t="s">
        <v>113</v>
      </c>
      <c r="G56" s="44" t="s">
        <v>114</v>
      </c>
      <c r="H56" s="44" t="s">
        <v>115</v>
      </c>
      <c r="I56" s="45" t="s">
        <v>146</v>
      </c>
      <c r="J56" s="45" t="s">
        <v>127</v>
      </c>
      <c r="K56" s="45" t="s">
        <v>128</v>
      </c>
      <c r="L56" s="45" t="s">
        <v>129</v>
      </c>
      <c r="M56" s="31">
        <v>2016</v>
      </c>
      <c r="N56" s="31">
        <v>2021</v>
      </c>
      <c r="O56" s="31">
        <v>2026</v>
      </c>
      <c r="P56" s="9" t="s">
        <v>106</v>
      </c>
      <c r="Q56" s="9" t="s">
        <v>107</v>
      </c>
      <c r="R56" s="9" t="s">
        <v>108</v>
      </c>
    </row>
    <row r="57" spans="1:18">
      <c r="A57" t="s">
        <v>134</v>
      </c>
      <c r="B57">
        <v>22291</v>
      </c>
      <c r="C57" s="9">
        <f>22291*0.47</f>
        <v>10476.769999999999</v>
      </c>
      <c r="D57" s="9">
        <f>C57*44/12</f>
        <v>38414.823333333326</v>
      </c>
      <c r="E57" s="27">
        <f>D63*0.0116</f>
        <v>30176.698495606666</v>
      </c>
      <c r="F57" s="27">
        <f>E57*50%</f>
        <v>15088.349247803333</v>
      </c>
      <c r="G57" s="27">
        <f>F57*(1-35%)</f>
        <v>9807.4270110721664</v>
      </c>
      <c r="H57" s="27">
        <f>G57*60%</f>
        <v>5884.4562066433</v>
      </c>
      <c r="I57" s="27">
        <f>H57*20*18000</f>
        <v>2118404234.391588</v>
      </c>
      <c r="J57" s="27">
        <f>H57*15*18000</f>
        <v>1588803175.7936909</v>
      </c>
      <c r="K57" s="27">
        <f>H57*10*18000</f>
        <v>1059202117.195794</v>
      </c>
      <c r="L57" s="66">
        <f>H57*5*18000</f>
        <v>529601058.59789699</v>
      </c>
      <c r="M57" s="9">
        <f>H41</f>
        <v>1452.07</v>
      </c>
      <c r="N57" s="9">
        <f>J41</f>
        <v>1549.28</v>
      </c>
      <c r="O57" s="9">
        <f>K41</f>
        <v>1411.16</v>
      </c>
      <c r="P57" s="9">
        <f>1452.07-82</f>
        <v>1370.07</v>
      </c>
    </row>
    <row r="58" spans="1:18">
      <c r="A58" t="s">
        <v>135</v>
      </c>
      <c r="B58">
        <v>6464</v>
      </c>
      <c r="C58" s="9">
        <f>64.64*0.47</f>
        <v>30.380799999999997</v>
      </c>
      <c r="D58" s="9">
        <f t="shared" ref="D58:D61" si="8">C58*44/12</f>
        <v>111.39626666666665</v>
      </c>
      <c r="E58" s="27"/>
      <c r="F58" s="27"/>
      <c r="G58" s="27"/>
      <c r="H58" s="27"/>
      <c r="I58" s="27"/>
      <c r="J58" s="27"/>
      <c r="K58" s="27"/>
      <c r="P58" s="26">
        <f>P57/5</f>
        <v>274.01400000000001</v>
      </c>
    </row>
    <row r="59" spans="1:18">
      <c r="A59" t="s">
        <v>136</v>
      </c>
      <c r="B59">
        <v>66876</v>
      </c>
      <c r="C59" s="9">
        <f>668.73*0.47</f>
        <v>314.30309999999997</v>
      </c>
      <c r="D59" s="9">
        <f t="shared" si="8"/>
        <v>1152.4446999999998</v>
      </c>
      <c r="E59" s="27"/>
      <c r="F59" s="27"/>
      <c r="G59" s="27"/>
      <c r="H59" s="27" t="s">
        <v>145</v>
      </c>
      <c r="I59" s="27"/>
      <c r="J59" s="27"/>
      <c r="K59" s="27"/>
    </row>
    <row r="60" spans="1:18">
      <c r="A60" t="s">
        <v>137</v>
      </c>
      <c r="B60" s="63">
        <v>1965.68</v>
      </c>
      <c r="C60" s="9">
        <f>196568*0.47</f>
        <v>92386.959999999992</v>
      </c>
      <c r="D60" s="9">
        <f t="shared" si="8"/>
        <v>338752.18666666665</v>
      </c>
      <c r="E60" s="27"/>
      <c r="F60" s="27"/>
      <c r="G60" s="27"/>
      <c r="H60" s="27">
        <f>G57*100%</f>
        <v>9807.4270110721664</v>
      </c>
      <c r="I60" s="27">
        <f>H60*20*18000</f>
        <v>3530673723.98598</v>
      </c>
      <c r="J60" s="27">
        <f>H60*15*18000</f>
        <v>2648005292.9894848</v>
      </c>
      <c r="K60" s="27">
        <f>H60*10*18000</f>
        <v>1765336861.99299</v>
      </c>
      <c r="L60" s="26">
        <f>H60*5*18000</f>
        <v>882668430.99649501</v>
      </c>
    </row>
    <row r="61" spans="1:18">
      <c r="A61" t="s">
        <v>140</v>
      </c>
      <c r="C61" s="9">
        <f>F46</f>
        <v>1315758.6000000001</v>
      </c>
      <c r="D61" s="9">
        <f t="shared" si="8"/>
        <v>4824448.2</v>
      </c>
    </row>
    <row r="62" spans="1:18">
      <c r="C62" s="15">
        <f>SUM(C57:C61)</f>
        <v>1418967.0139000001</v>
      </c>
      <c r="D62" s="15">
        <f>SUM(D57:D61)</f>
        <v>5202879.050966667</v>
      </c>
    </row>
    <row r="63" spans="1:18">
      <c r="C63" s="10"/>
      <c r="D63" s="27">
        <f>D62*50%</f>
        <v>2601439.5254833335</v>
      </c>
    </row>
    <row r="64" spans="1:18">
      <c r="D64" s="26">
        <f>D63*35</f>
        <v>91050383.391916677</v>
      </c>
    </row>
    <row r="67" spans="2:4">
      <c r="B67" t="s">
        <v>133</v>
      </c>
      <c r="C67">
        <f>1369.2+41.94+31.92</f>
        <v>1443.0600000000002</v>
      </c>
      <c r="D67" t="s">
        <v>149</v>
      </c>
    </row>
    <row r="68" spans="2:4">
      <c r="B68" t="s">
        <v>147</v>
      </c>
      <c r="C68">
        <f>591.26+82.87+351.3</f>
        <v>1025.43</v>
      </c>
      <c r="D68" t="s">
        <v>148</v>
      </c>
    </row>
    <row r="69" spans="2:4">
      <c r="C69">
        <f>SUM(C67:C68)</f>
        <v>2468.4900000000002</v>
      </c>
    </row>
  </sheetData>
  <mergeCells count="19">
    <mergeCell ref="C55:D55"/>
    <mergeCell ref="M55:P55"/>
    <mergeCell ref="W29:W30"/>
    <mergeCell ref="X29:X30"/>
    <mergeCell ref="A6:B6"/>
    <mergeCell ref="C6:D6"/>
    <mergeCell ref="U29:U30"/>
    <mergeCell ref="V29:V30"/>
    <mergeCell ref="A29:B29"/>
    <mergeCell ref="H29:K29"/>
    <mergeCell ref="O29:P29"/>
    <mergeCell ref="E6:F6"/>
    <mergeCell ref="X39:X40"/>
    <mergeCell ref="A39:B39"/>
    <mergeCell ref="H39:K39"/>
    <mergeCell ref="O39:P39"/>
    <mergeCell ref="U39:U40"/>
    <mergeCell ref="V39:V40"/>
    <mergeCell ref="W39:W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56C1-C5B4-416E-AD51-135EF36CBF4D}">
  <dimension ref="C3:S75"/>
  <sheetViews>
    <sheetView workbookViewId="0">
      <selection activeCell="K68" sqref="K68"/>
    </sheetView>
  </sheetViews>
  <sheetFormatPr defaultRowHeight="15.6"/>
  <sheetData>
    <row r="3" spans="3:19">
      <c r="C3" s="56">
        <v>2021</v>
      </c>
      <c r="D3" s="56"/>
      <c r="E3" s="56"/>
      <c r="F3" s="56"/>
      <c r="G3" s="56"/>
      <c r="H3" s="56"/>
      <c r="I3" s="56">
        <v>2016</v>
      </c>
      <c r="J3" s="56"/>
      <c r="K3" s="56"/>
      <c r="L3" s="56"/>
      <c r="M3" s="56"/>
      <c r="N3" s="56"/>
      <c r="O3" s="56">
        <v>2026</v>
      </c>
      <c r="P3" s="56"/>
      <c r="Q3" s="56"/>
      <c r="R3" s="56"/>
      <c r="S3" s="56"/>
    </row>
    <row r="4" spans="3:19">
      <c r="C4" t="s">
        <v>89</v>
      </c>
      <c r="D4" t="s">
        <v>90</v>
      </c>
      <c r="E4" t="s">
        <v>91</v>
      </c>
      <c r="F4" t="s">
        <v>92</v>
      </c>
      <c r="G4" t="s">
        <v>93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</row>
    <row r="5" spans="3:19">
      <c r="C5">
        <v>0</v>
      </c>
      <c r="D5" t="s">
        <v>94</v>
      </c>
      <c r="E5">
        <v>0</v>
      </c>
      <c r="F5" t="s">
        <v>22</v>
      </c>
      <c r="G5">
        <v>19.71</v>
      </c>
      <c r="I5">
        <v>0</v>
      </c>
      <c r="J5" t="s">
        <v>94</v>
      </c>
      <c r="K5">
        <v>0</v>
      </c>
      <c r="L5" t="s">
        <v>95</v>
      </c>
      <c r="M5">
        <v>11.14</v>
      </c>
      <c r="O5">
        <v>0</v>
      </c>
      <c r="P5" t="s">
        <v>94</v>
      </c>
      <c r="Q5">
        <v>0</v>
      </c>
      <c r="R5" t="s">
        <v>22</v>
      </c>
      <c r="S5">
        <v>305.31</v>
      </c>
    </row>
    <row r="6" spans="3:19">
      <c r="C6">
        <v>1</v>
      </c>
      <c r="D6" t="s">
        <v>94</v>
      </c>
      <c r="E6">
        <v>0</v>
      </c>
      <c r="F6" t="s">
        <v>95</v>
      </c>
      <c r="G6">
        <v>11.14</v>
      </c>
      <c r="I6">
        <v>1</v>
      </c>
      <c r="J6" t="s">
        <v>94</v>
      </c>
      <c r="K6">
        <v>0</v>
      </c>
      <c r="L6" t="s">
        <v>96</v>
      </c>
      <c r="M6">
        <v>1392.1</v>
      </c>
      <c r="O6">
        <v>1</v>
      </c>
      <c r="P6" t="s">
        <v>94</v>
      </c>
      <c r="Q6">
        <v>0</v>
      </c>
      <c r="R6" t="s">
        <v>22</v>
      </c>
      <c r="S6">
        <v>22.72</v>
      </c>
    </row>
    <row r="7" spans="3:19">
      <c r="C7">
        <v>2</v>
      </c>
      <c r="D7" t="s">
        <v>94</v>
      </c>
      <c r="E7">
        <v>0</v>
      </c>
      <c r="F7" t="s">
        <v>96</v>
      </c>
      <c r="G7">
        <v>1489.31</v>
      </c>
      <c r="I7">
        <v>2</v>
      </c>
      <c r="J7" t="s">
        <v>94</v>
      </c>
      <c r="K7">
        <v>0</v>
      </c>
      <c r="L7" t="s">
        <v>95</v>
      </c>
      <c r="M7">
        <v>216.39</v>
      </c>
      <c r="O7">
        <v>2</v>
      </c>
      <c r="P7" t="s">
        <v>94</v>
      </c>
      <c r="Q7">
        <v>0</v>
      </c>
      <c r="R7" t="s">
        <v>22</v>
      </c>
      <c r="S7">
        <v>8.82</v>
      </c>
    </row>
    <row r="8" spans="3:19">
      <c r="C8">
        <v>3</v>
      </c>
      <c r="D8" t="s">
        <v>94</v>
      </c>
      <c r="E8">
        <v>0</v>
      </c>
      <c r="F8" t="s">
        <v>95</v>
      </c>
      <c r="G8">
        <v>216.39</v>
      </c>
      <c r="I8">
        <v>3</v>
      </c>
      <c r="J8" t="s">
        <v>94</v>
      </c>
      <c r="K8">
        <v>0</v>
      </c>
      <c r="L8" t="s">
        <v>95</v>
      </c>
      <c r="M8">
        <v>10.96</v>
      </c>
      <c r="O8">
        <v>3</v>
      </c>
      <c r="P8" t="s">
        <v>94</v>
      </c>
      <c r="Q8">
        <v>0</v>
      </c>
      <c r="R8" t="s">
        <v>22</v>
      </c>
      <c r="S8">
        <v>6.47</v>
      </c>
    </row>
    <row r="9" spans="3:19">
      <c r="C9">
        <v>4</v>
      </c>
      <c r="D9" t="s">
        <v>94</v>
      </c>
      <c r="E9">
        <v>0</v>
      </c>
      <c r="F9" t="s">
        <v>95</v>
      </c>
      <c r="G9">
        <v>10.96</v>
      </c>
      <c r="I9">
        <v>4</v>
      </c>
      <c r="J9" t="s">
        <v>94</v>
      </c>
      <c r="K9">
        <v>0</v>
      </c>
      <c r="L9" t="s">
        <v>96</v>
      </c>
      <c r="M9">
        <v>15.04</v>
      </c>
      <c r="O9">
        <v>4</v>
      </c>
      <c r="P9" t="s">
        <v>94</v>
      </c>
      <c r="Q9">
        <v>0</v>
      </c>
      <c r="R9" t="s">
        <v>22</v>
      </c>
      <c r="S9">
        <v>15.82</v>
      </c>
    </row>
    <row r="10" spans="3:19">
      <c r="C10">
        <v>5</v>
      </c>
      <c r="D10" t="s">
        <v>94</v>
      </c>
      <c r="E10">
        <v>0</v>
      </c>
      <c r="F10" t="s">
        <v>96</v>
      </c>
      <c r="G10">
        <v>15.04</v>
      </c>
      <c r="I10">
        <v>5</v>
      </c>
      <c r="J10" t="s">
        <v>94</v>
      </c>
      <c r="K10">
        <v>0</v>
      </c>
      <c r="L10" t="s">
        <v>96</v>
      </c>
      <c r="M10">
        <v>7.78</v>
      </c>
      <c r="O10">
        <v>5</v>
      </c>
      <c r="P10" t="s">
        <v>94</v>
      </c>
      <c r="Q10">
        <v>0</v>
      </c>
      <c r="R10" t="s">
        <v>42</v>
      </c>
      <c r="S10">
        <v>53.77</v>
      </c>
    </row>
    <row r="11" spans="3:19">
      <c r="C11">
        <v>6</v>
      </c>
      <c r="D11" t="s">
        <v>94</v>
      </c>
      <c r="E11">
        <v>0</v>
      </c>
      <c r="F11" t="s">
        <v>96</v>
      </c>
      <c r="G11">
        <v>7.78</v>
      </c>
      <c r="I11">
        <v>6</v>
      </c>
      <c r="J11" t="s">
        <v>94</v>
      </c>
      <c r="K11">
        <v>0</v>
      </c>
      <c r="L11" t="s">
        <v>96</v>
      </c>
      <c r="M11">
        <v>3.41</v>
      </c>
      <c r="O11">
        <v>6</v>
      </c>
      <c r="P11" t="s">
        <v>94</v>
      </c>
      <c r="Q11">
        <v>0</v>
      </c>
      <c r="R11" t="s">
        <v>95</v>
      </c>
      <c r="S11">
        <v>11.14</v>
      </c>
    </row>
    <row r="12" spans="3:19">
      <c r="C12">
        <v>7</v>
      </c>
      <c r="D12" t="s">
        <v>94</v>
      </c>
      <c r="E12">
        <v>0</v>
      </c>
      <c r="F12" t="s">
        <v>96</v>
      </c>
      <c r="G12">
        <v>3.41</v>
      </c>
      <c r="I12">
        <v>7</v>
      </c>
      <c r="J12" t="s">
        <v>94</v>
      </c>
      <c r="K12">
        <v>0</v>
      </c>
      <c r="L12" t="s">
        <v>96</v>
      </c>
      <c r="M12">
        <v>5.49</v>
      </c>
      <c r="O12">
        <v>7</v>
      </c>
      <c r="P12" t="s">
        <v>94</v>
      </c>
      <c r="Q12">
        <v>0</v>
      </c>
      <c r="R12" t="s">
        <v>42</v>
      </c>
      <c r="S12">
        <v>3.82</v>
      </c>
    </row>
    <row r="13" spans="3:19">
      <c r="C13">
        <v>8</v>
      </c>
      <c r="D13" t="s">
        <v>94</v>
      </c>
      <c r="E13">
        <v>0</v>
      </c>
      <c r="F13" t="s">
        <v>96</v>
      </c>
      <c r="G13">
        <v>5.49</v>
      </c>
      <c r="I13">
        <v>8</v>
      </c>
      <c r="J13" t="s">
        <v>94</v>
      </c>
      <c r="K13">
        <v>0</v>
      </c>
      <c r="L13" t="s">
        <v>96</v>
      </c>
      <c r="M13">
        <v>4.2699999999999996</v>
      </c>
      <c r="O13">
        <v>8</v>
      </c>
      <c r="P13" t="s">
        <v>94</v>
      </c>
      <c r="Q13">
        <v>0</v>
      </c>
      <c r="R13" t="s">
        <v>96</v>
      </c>
      <c r="S13">
        <v>1351.18</v>
      </c>
    </row>
    <row r="14" spans="3:19">
      <c r="C14">
        <v>9</v>
      </c>
      <c r="D14" t="s">
        <v>94</v>
      </c>
      <c r="E14">
        <v>0</v>
      </c>
      <c r="F14" t="s">
        <v>96</v>
      </c>
      <c r="G14">
        <v>4.2699999999999996</v>
      </c>
      <c r="I14">
        <v>9</v>
      </c>
      <c r="J14" t="s">
        <v>94</v>
      </c>
      <c r="K14">
        <v>0</v>
      </c>
      <c r="L14" t="s">
        <v>96</v>
      </c>
      <c r="M14">
        <v>2</v>
      </c>
      <c r="O14">
        <v>9</v>
      </c>
      <c r="P14" t="s">
        <v>94</v>
      </c>
      <c r="Q14">
        <v>0</v>
      </c>
      <c r="R14" t="s">
        <v>95</v>
      </c>
      <c r="S14">
        <v>353.16</v>
      </c>
    </row>
    <row r="15" spans="3:19">
      <c r="C15">
        <v>10</v>
      </c>
      <c r="D15" t="s">
        <v>94</v>
      </c>
      <c r="E15">
        <v>0</v>
      </c>
      <c r="F15" t="s">
        <v>96</v>
      </c>
      <c r="G15">
        <v>2</v>
      </c>
      <c r="I15">
        <v>10</v>
      </c>
      <c r="J15" t="s">
        <v>94</v>
      </c>
      <c r="K15">
        <v>0</v>
      </c>
      <c r="L15" t="s">
        <v>96</v>
      </c>
      <c r="M15">
        <v>2.2999999999999998</v>
      </c>
      <c r="O15">
        <v>10</v>
      </c>
      <c r="P15" t="s">
        <v>94</v>
      </c>
      <c r="Q15">
        <v>0</v>
      </c>
      <c r="R15" t="s">
        <v>95</v>
      </c>
      <c r="S15">
        <v>182.42</v>
      </c>
    </row>
    <row r="16" spans="3:19">
      <c r="C16">
        <v>11</v>
      </c>
      <c r="D16" t="s">
        <v>94</v>
      </c>
      <c r="E16">
        <v>0</v>
      </c>
      <c r="F16" t="s">
        <v>96</v>
      </c>
      <c r="G16">
        <v>2.2999999999999998</v>
      </c>
      <c r="I16">
        <v>11</v>
      </c>
      <c r="J16" t="s">
        <v>94</v>
      </c>
      <c r="K16">
        <v>0</v>
      </c>
      <c r="L16" t="s">
        <v>96</v>
      </c>
      <c r="M16">
        <v>3.09</v>
      </c>
      <c r="O16">
        <v>11</v>
      </c>
      <c r="P16" t="s">
        <v>94</v>
      </c>
      <c r="Q16">
        <v>0</v>
      </c>
      <c r="R16" t="s">
        <v>95</v>
      </c>
      <c r="S16">
        <v>2.87</v>
      </c>
    </row>
    <row r="17" spans="3:19">
      <c r="C17">
        <v>12</v>
      </c>
      <c r="D17" t="s">
        <v>94</v>
      </c>
      <c r="E17">
        <v>0</v>
      </c>
      <c r="F17" t="s">
        <v>96</v>
      </c>
      <c r="G17">
        <v>3.09</v>
      </c>
      <c r="I17">
        <v>12</v>
      </c>
      <c r="J17" t="s">
        <v>94</v>
      </c>
      <c r="K17">
        <v>0</v>
      </c>
      <c r="L17" t="s">
        <v>95</v>
      </c>
      <c r="M17">
        <v>550.12</v>
      </c>
      <c r="O17">
        <v>12</v>
      </c>
      <c r="P17" t="s">
        <v>94</v>
      </c>
      <c r="Q17">
        <v>0</v>
      </c>
      <c r="R17" t="s">
        <v>95</v>
      </c>
      <c r="S17">
        <v>10.96</v>
      </c>
    </row>
    <row r="18" spans="3:19">
      <c r="C18">
        <v>13</v>
      </c>
      <c r="D18" t="s">
        <v>94</v>
      </c>
      <c r="E18">
        <v>0</v>
      </c>
      <c r="F18" t="s">
        <v>95</v>
      </c>
      <c r="G18">
        <v>504.84</v>
      </c>
      <c r="I18">
        <v>13</v>
      </c>
      <c r="J18" t="s">
        <v>94</v>
      </c>
      <c r="K18">
        <v>0</v>
      </c>
      <c r="L18" t="s">
        <v>96</v>
      </c>
      <c r="M18">
        <v>6.67</v>
      </c>
      <c r="O18">
        <v>13</v>
      </c>
      <c r="P18" t="s">
        <v>94</v>
      </c>
      <c r="Q18">
        <v>0</v>
      </c>
      <c r="R18" t="s">
        <v>95</v>
      </c>
      <c r="S18">
        <v>19.399999999999999</v>
      </c>
    </row>
    <row r="19" spans="3:19">
      <c r="C19">
        <v>14</v>
      </c>
      <c r="D19" t="s">
        <v>94</v>
      </c>
      <c r="E19">
        <v>0</v>
      </c>
      <c r="F19" t="s">
        <v>96</v>
      </c>
      <c r="G19">
        <v>6.67</v>
      </c>
      <c r="I19">
        <v>14</v>
      </c>
      <c r="J19" t="s">
        <v>94</v>
      </c>
      <c r="K19">
        <v>0</v>
      </c>
      <c r="L19" t="s">
        <v>96</v>
      </c>
      <c r="M19">
        <v>0.44</v>
      </c>
      <c r="O19">
        <v>14</v>
      </c>
      <c r="P19" t="s">
        <v>94</v>
      </c>
      <c r="Q19">
        <v>0</v>
      </c>
      <c r="R19" t="s">
        <v>95</v>
      </c>
      <c r="S19">
        <v>2.42</v>
      </c>
    </row>
    <row r="20" spans="3:19">
      <c r="C20">
        <v>15</v>
      </c>
      <c r="D20" t="s">
        <v>94</v>
      </c>
      <c r="E20">
        <v>0</v>
      </c>
      <c r="F20" t="s">
        <v>96</v>
      </c>
      <c r="G20">
        <v>0.44</v>
      </c>
      <c r="I20">
        <v>15</v>
      </c>
      <c r="J20" t="s">
        <v>94</v>
      </c>
      <c r="K20">
        <v>0</v>
      </c>
      <c r="L20" t="s">
        <v>96</v>
      </c>
      <c r="M20">
        <v>3.16</v>
      </c>
      <c r="O20">
        <v>15</v>
      </c>
      <c r="P20" t="s">
        <v>94</v>
      </c>
      <c r="Q20">
        <v>0</v>
      </c>
      <c r="R20" t="s">
        <v>95</v>
      </c>
      <c r="S20">
        <v>1.8</v>
      </c>
    </row>
    <row r="21" spans="3:19">
      <c r="C21">
        <v>16</v>
      </c>
      <c r="D21" t="s">
        <v>94</v>
      </c>
      <c r="E21">
        <v>0</v>
      </c>
      <c r="F21" t="s">
        <v>96</v>
      </c>
      <c r="G21">
        <v>3.16</v>
      </c>
      <c r="I21">
        <v>16</v>
      </c>
      <c r="J21" t="s">
        <v>94</v>
      </c>
      <c r="K21">
        <v>0</v>
      </c>
      <c r="L21" t="s">
        <v>96</v>
      </c>
      <c r="M21">
        <v>1.82</v>
      </c>
      <c r="O21">
        <v>16</v>
      </c>
      <c r="P21" t="s">
        <v>94</v>
      </c>
      <c r="Q21">
        <v>0</v>
      </c>
      <c r="R21" t="s">
        <v>95</v>
      </c>
      <c r="S21">
        <v>0.5</v>
      </c>
    </row>
    <row r="22" spans="3:19">
      <c r="C22">
        <v>17</v>
      </c>
      <c r="D22" t="s">
        <v>94</v>
      </c>
      <c r="E22">
        <v>0</v>
      </c>
      <c r="F22" t="s">
        <v>96</v>
      </c>
      <c r="G22">
        <v>1.82</v>
      </c>
      <c r="I22">
        <v>17</v>
      </c>
      <c r="J22" t="s">
        <v>94</v>
      </c>
      <c r="K22">
        <v>0</v>
      </c>
      <c r="L22" t="s">
        <v>96</v>
      </c>
      <c r="M22">
        <v>2.97</v>
      </c>
      <c r="O22">
        <v>17</v>
      </c>
      <c r="P22" t="s">
        <v>94</v>
      </c>
      <c r="Q22">
        <v>0</v>
      </c>
      <c r="R22" t="s">
        <v>95</v>
      </c>
      <c r="S22">
        <v>5.21</v>
      </c>
    </row>
    <row r="23" spans="3:19">
      <c r="C23">
        <v>18</v>
      </c>
      <c r="D23" t="s">
        <v>94</v>
      </c>
      <c r="E23">
        <v>0</v>
      </c>
      <c r="F23" t="s">
        <v>96</v>
      </c>
      <c r="G23">
        <v>2.97</v>
      </c>
      <c r="I23">
        <v>18</v>
      </c>
      <c r="J23" t="s">
        <v>94</v>
      </c>
      <c r="K23">
        <v>0</v>
      </c>
      <c r="L23" t="s">
        <v>96</v>
      </c>
      <c r="M23">
        <v>1.1100000000000001</v>
      </c>
      <c r="O23">
        <v>18</v>
      </c>
      <c r="P23" t="s">
        <v>94</v>
      </c>
      <c r="Q23">
        <v>0</v>
      </c>
      <c r="R23" t="s">
        <v>96</v>
      </c>
      <c r="S23">
        <v>15.04</v>
      </c>
    </row>
    <row r="24" spans="3:19">
      <c r="C24">
        <v>19</v>
      </c>
      <c r="D24" t="s">
        <v>94</v>
      </c>
      <c r="E24">
        <v>0</v>
      </c>
      <c r="F24" t="s">
        <v>96</v>
      </c>
      <c r="G24">
        <v>1.1100000000000001</v>
      </c>
      <c r="I24">
        <v>19</v>
      </c>
      <c r="J24" t="s">
        <v>94</v>
      </c>
      <c r="K24">
        <v>0</v>
      </c>
      <c r="L24" t="s">
        <v>96</v>
      </c>
      <c r="M24">
        <v>0.01</v>
      </c>
      <c r="O24">
        <v>19</v>
      </c>
      <c r="P24" t="s">
        <v>94</v>
      </c>
      <c r="Q24">
        <v>0</v>
      </c>
      <c r="R24" t="s">
        <v>96</v>
      </c>
      <c r="S24">
        <v>7.78</v>
      </c>
    </row>
    <row r="25" spans="3:19">
      <c r="C25">
        <v>20</v>
      </c>
      <c r="D25" t="s">
        <v>94</v>
      </c>
      <c r="E25">
        <v>0</v>
      </c>
      <c r="F25" t="s">
        <v>96</v>
      </c>
      <c r="G25">
        <v>0.01</v>
      </c>
      <c r="I25">
        <v>20</v>
      </c>
      <c r="J25" t="s">
        <v>94</v>
      </c>
      <c r="K25">
        <v>0</v>
      </c>
      <c r="L25" t="s">
        <v>96</v>
      </c>
      <c r="M25">
        <v>0.03</v>
      </c>
      <c r="O25">
        <v>20</v>
      </c>
      <c r="P25" t="s">
        <v>94</v>
      </c>
      <c r="Q25">
        <v>0</v>
      </c>
      <c r="R25" t="s">
        <v>96</v>
      </c>
      <c r="S25">
        <v>3.41</v>
      </c>
    </row>
    <row r="26" spans="3:19">
      <c r="C26">
        <v>21</v>
      </c>
      <c r="D26" t="s">
        <v>94</v>
      </c>
      <c r="E26">
        <v>0</v>
      </c>
      <c r="F26" t="s">
        <v>96</v>
      </c>
      <c r="G26">
        <v>0.03</v>
      </c>
      <c r="I26">
        <v>21</v>
      </c>
      <c r="J26" t="s">
        <v>94</v>
      </c>
      <c r="K26">
        <v>0</v>
      </c>
      <c r="L26" t="s">
        <v>95</v>
      </c>
      <c r="M26">
        <v>0</v>
      </c>
      <c r="O26">
        <v>21</v>
      </c>
      <c r="P26" t="s">
        <v>94</v>
      </c>
      <c r="Q26">
        <v>0</v>
      </c>
      <c r="R26" t="s">
        <v>96</v>
      </c>
      <c r="S26">
        <v>5.49</v>
      </c>
    </row>
    <row r="27" spans="3:19">
      <c r="C27">
        <v>22</v>
      </c>
      <c r="D27" t="s">
        <v>94</v>
      </c>
      <c r="E27">
        <v>0</v>
      </c>
      <c r="F27" t="s">
        <v>95</v>
      </c>
      <c r="G27">
        <v>0</v>
      </c>
      <c r="I27">
        <v>22</v>
      </c>
      <c r="J27" t="s">
        <v>94</v>
      </c>
      <c r="K27">
        <v>0</v>
      </c>
      <c r="L27" t="s">
        <v>97</v>
      </c>
      <c r="M27">
        <v>0.53</v>
      </c>
      <c r="O27">
        <v>22</v>
      </c>
      <c r="P27" t="s">
        <v>94</v>
      </c>
      <c r="Q27">
        <v>0</v>
      </c>
      <c r="R27" t="s">
        <v>96</v>
      </c>
      <c r="S27">
        <v>4.2699999999999996</v>
      </c>
    </row>
    <row r="28" spans="3:19">
      <c r="C28">
        <v>23</v>
      </c>
      <c r="D28" t="s">
        <v>94</v>
      </c>
      <c r="E28">
        <v>0</v>
      </c>
      <c r="F28" t="s">
        <v>97</v>
      </c>
      <c r="G28">
        <v>0.53</v>
      </c>
      <c r="I28">
        <v>23</v>
      </c>
      <c r="J28" t="s">
        <v>94</v>
      </c>
      <c r="K28">
        <v>0</v>
      </c>
      <c r="L28" t="s">
        <v>97</v>
      </c>
      <c r="M28">
        <v>0.44</v>
      </c>
      <c r="O28">
        <v>23</v>
      </c>
      <c r="P28" t="s">
        <v>94</v>
      </c>
      <c r="Q28">
        <v>0</v>
      </c>
      <c r="R28" t="s">
        <v>96</v>
      </c>
      <c r="S28">
        <v>2</v>
      </c>
    </row>
    <row r="29" spans="3:19">
      <c r="C29">
        <v>24</v>
      </c>
      <c r="D29" t="s">
        <v>94</v>
      </c>
      <c r="E29">
        <v>0</v>
      </c>
      <c r="F29" t="s">
        <v>97</v>
      </c>
      <c r="G29">
        <v>0.44</v>
      </c>
      <c r="I29">
        <v>24</v>
      </c>
      <c r="J29" t="s">
        <v>94</v>
      </c>
      <c r="K29">
        <v>0</v>
      </c>
      <c r="L29" t="s">
        <v>97</v>
      </c>
      <c r="M29">
        <v>0.57999999999999996</v>
      </c>
      <c r="O29">
        <v>24</v>
      </c>
      <c r="P29" t="s">
        <v>94</v>
      </c>
      <c r="Q29">
        <v>0</v>
      </c>
      <c r="R29" t="s">
        <v>96</v>
      </c>
      <c r="S29">
        <v>2.2999999999999998</v>
      </c>
    </row>
    <row r="30" spans="3:19">
      <c r="C30">
        <v>25</v>
      </c>
      <c r="D30" t="s">
        <v>94</v>
      </c>
      <c r="E30">
        <v>0</v>
      </c>
      <c r="F30" t="s">
        <v>97</v>
      </c>
      <c r="G30">
        <v>0.57999999999999996</v>
      </c>
      <c r="I30">
        <v>25</v>
      </c>
      <c r="J30" t="s">
        <v>94</v>
      </c>
      <c r="K30">
        <v>0</v>
      </c>
      <c r="L30" t="s">
        <v>97</v>
      </c>
      <c r="M30">
        <v>0.7</v>
      </c>
      <c r="O30">
        <v>25</v>
      </c>
      <c r="P30" t="s">
        <v>94</v>
      </c>
      <c r="Q30">
        <v>0</v>
      </c>
      <c r="R30" t="s">
        <v>96</v>
      </c>
      <c r="S30">
        <v>3.09</v>
      </c>
    </row>
    <row r="31" spans="3:19">
      <c r="C31">
        <v>26</v>
      </c>
      <c r="D31" t="s">
        <v>94</v>
      </c>
      <c r="E31">
        <v>0</v>
      </c>
      <c r="F31" t="s">
        <v>97</v>
      </c>
      <c r="G31">
        <v>0.7</v>
      </c>
      <c r="I31">
        <v>26</v>
      </c>
      <c r="J31" t="s">
        <v>94</v>
      </c>
      <c r="K31">
        <v>0</v>
      </c>
      <c r="L31" t="s">
        <v>97</v>
      </c>
      <c r="M31">
        <v>0.31</v>
      </c>
      <c r="O31">
        <v>26</v>
      </c>
      <c r="P31" t="s">
        <v>94</v>
      </c>
      <c r="Q31">
        <v>0</v>
      </c>
      <c r="R31" t="s">
        <v>95</v>
      </c>
      <c r="S31">
        <v>18.77</v>
      </c>
    </row>
    <row r="32" spans="3:19">
      <c r="C32">
        <v>27</v>
      </c>
      <c r="D32" t="s">
        <v>94</v>
      </c>
      <c r="E32">
        <v>0</v>
      </c>
      <c r="F32" t="s">
        <v>97</v>
      </c>
      <c r="G32">
        <v>0.31</v>
      </c>
      <c r="I32">
        <v>27</v>
      </c>
      <c r="J32" t="s">
        <v>94</v>
      </c>
      <c r="K32">
        <v>0</v>
      </c>
      <c r="L32" t="s">
        <v>97</v>
      </c>
      <c r="M32">
        <v>0.08</v>
      </c>
      <c r="O32">
        <v>27</v>
      </c>
      <c r="P32" t="s">
        <v>94</v>
      </c>
      <c r="Q32">
        <v>0</v>
      </c>
      <c r="R32" t="s">
        <v>96</v>
      </c>
      <c r="S32">
        <v>6.67</v>
      </c>
    </row>
    <row r="33" spans="3:19">
      <c r="C33">
        <v>28</v>
      </c>
      <c r="D33" t="s">
        <v>94</v>
      </c>
      <c r="E33">
        <v>0</v>
      </c>
      <c r="F33" t="s">
        <v>97</v>
      </c>
      <c r="G33">
        <v>0.08</v>
      </c>
      <c r="I33">
        <v>28</v>
      </c>
      <c r="J33" t="s">
        <v>94</v>
      </c>
      <c r="K33">
        <v>0</v>
      </c>
      <c r="L33" t="s">
        <v>97</v>
      </c>
      <c r="M33">
        <v>0.49</v>
      </c>
      <c r="O33">
        <v>28</v>
      </c>
      <c r="P33" t="s">
        <v>94</v>
      </c>
      <c r="Q33">
        <v>0</v>
      </c>
      <c r="R33" t="s">
        <v>96</v>
      </c>
      <c r="S33">
        <v>0.44</v>
      </c>
    </row>
    <row r="34" spans="3:19">
      <c r="C34">
        <v>29</v>
      </c>
      <c r="D34" t="s">
        <v>94</v>
      </c>
      <c r="E34">
        <v>0</v>
      </c>
      <c r="F34" t="s">
        <v>97</v>
      </c>
      <c r="G34">
        <v>0.49</v>
      </c>
      <c r="I34">
        <v>29</v>
      </c>
      <c r="J34" t="s">
        <v>94</v>
      </c>
      <c r="K34">
        <v>0</v>
      </c>
      <c r="L34" t="s">
        <v>97</v>
      </c>
      <c r="M34">
        <v>0.67</v>
      </c>
      <c r="O34">
        <v>29</v>
      </c>
      <c r="P34" t="s">
        <v>94</v>
      </c>
      <c r="Q34">
        <v>0</v>
      </c>
      <c r="R34" t="s">
        <v>96</v>
      </c>
      <c r="S34">
        <v>3.16</v>
      </c>
    </row>
    <row r="35" spans="3:19">
      <c r="C35">
        <v>30</v>
      </c>
      <c r="D35" t="s">
        <v>94</v>
      </c>
      <c r="E35">
        <v>0</v>
      </c>
      <c r="F35" t="s">
        <v>97</v>
      </c>
      <c r="G35">
        <v>0.67</v>
      </c>
      <c r="I35">
        <v>30</v>
      </c>
      <c r="J35" t="s">
        <v>94</v>
      </c>
      <c r="K35">
        <v>0</v>
      </c>
      <c r="L35" t="s">
        <v>97</v>
      </c>
      <c r="M35">
        <v>0.55000000000000004</v>
      </c>
      <c r="O35">
        <v>30</v>
      </c>
      <c r="P35" t="s">
        <v>94</v>
      </c>
      <c r="Q35">
        <v>0</v>
      </c>
      <c r="R35" t="s">
        <v>96</v>
      </c>
      <c r="S35">
        <v>1.82</v>
      </c>
    </row>
    <row r="36" spans="3:19">
      <c r="C36">
        <v>31</v>
      </c>
      <c r="D36" t="s">
        <v>94</v>
      </c>
      <c r="E36">
        <v>0</v>
      </c>
      <c r="F36" t="s">
        <v>97</v>
      </c>
      <c r="G36">
        <v>0.55000000000000004</v>
      </c>
      <c r="I36">
        <v>31</v>
      </c>
      <c r="J36" t="s">
        <v>94</v>
      </c>
      <c r="K36">
        <v>0</v>
      </c>
      <c r="L36" t="s">
        <v>97</v>
      </c>
      <c r="M36">
        <v>0.11</v>
      </c>
      <c r="O36">
        <v>31</v>
      </c>
      <c r="P36" t="s">
        <v>94</v>
      </c>
      <c r="Q36">
        <v>0</v>
      </c>
      <c r="R36" t="s">
        <v>96</v>
      </c>
      <c r="S36">
        <v>2.97</v>
      </c>
    </row>
    <row r="37" spans="3:19">
      <c r="C37">
        <v>32</v>
      </c>
      <c r="D37" t="s">
        <v>94</v>
      </c>
      <c r="E37">
        <v>0</v>
      </c>
      <c r="F37" t="s">
        <v>97</v>
      </c>
      <c r="G37">
        <v>0.11</v>
      </c>
      <c r="I37">
        <v>32</v>
      </c>
      <c r="J37" t="s">
        <v>94</v>
      </c>
      <c r="K37">
        <v>0</v>
      </c>
      <c r="L37" t="s">
        <v>97</v>
      </c>
      <c r="M37">
        <v>1.29</v>
      </c>
      <c r="O37">
        <v>32</v>
      </c>
      <c r="P37" t="s">
        <v>94</v>
      </c>
      <c r="Q37">
        <v>0</v>
      </c>
      <c r="R37" t="s">
        <v>96</v>
      </c>
      <c r="S37">
        <v>1.1100000000000001</v>
      </c>
    </row>
    <row r="38" spans="3:19">
      <c r="C38">
        <v>33</v>
      </c>
      <c r="D38" t="s">
        <v>94</v>
      </c>
      <c r="E38">
        <v>0</v>
      </c>
      <c r="F38" t="s">
        <v>97</v>
      </c>
      <c r="G38">
        <v>1.29</v>
      </c>
      <c r="I38">
        <v>33</v>
      </c>
      <c r="J38" t="s">
        <v>94</v>
      </c>
      <c r="K38">
        <v>0</v>
      </c>
      <c r="L38" t="s">
        <v>97</v>
      </c>
      <c r="M38">
        <v>1.77</v>
      </c>
      <c r="O38">
        <v>33</v>
      </c>
      <c r="P38" t="s">
        <v>94</v>
      </c>
      <c r="Q38">
        <v>0</v>
      </c>
      <c r="R38" t="s">
        <v>42</v>
      </c>
      <c r="S38">
        <v>0.01</v>
      </c>
    </row>
    <row r="39" spans="3:19">
      <c r="C39">
        <v>34</v>
      </c>
      <c r="D39" t="s">
        <v>94</v>
      </c>
      <c r="E39">
        <v>0</v>
      </c>
      <c r="F39" t="s">
        <v>97</v>
      </c>
      <c r="G39">
        <v>1.77</v>
      </c>
      <c r="I39">
        <v>34</v>
      </c>
      <c r="J39" t="s">
        <v>94</v>
      </c>
      <c r="K39">
        <v>0</v>
      </c>
      <c r="L39" t="s">
        <v>97</v>
      </c>
      <c r="M39">
        <v>0.18</v>
      </c>
      <c r="O39">
        <v>34</v>
      </c>
      <c r="P39" t="s">
        <v>94</v>
      </c>
      <c r="Q39">
        <v>0</v>
      </c>
      <c r="R39" t="s">
        <v>96</v>
      </c>
      <c r="S39">
        <v>0.01</v>
      </c>
    </row>
    <row r="40" spans="3:19">
      <c r="C40">
        <v>35</v>
      </c>
      <c r="D40" t="s">
        <v>94</v>
      </c>
      <c r="E40">
        <v>0</v>
      </c>
      <c r="F40" t="s">
        <v>97</v>
      </c>
      <c r="G40">
        <v>0.18</v>
      </c>
      <c r="I40">
        <v>35</v>
      </c>
      <c r="J40" t="s">
        <v>94</v>
      </c>
      <c r="K40">
        <v>0</v>
      </c>
      <c r="L40" t="s">
        <v>97</v>
      </c>
      <c r="M40">
        <v>3.69</v>
      </c>
      <c r="O40">
        <v>35</v>
      </c>
      <c r="P40" t="s">
        <v>94</v>
      </c>
      <c r="Q40">
        <v>0</v>
      </c>
      <c r="R40" t="s">
        <v>96</v>
      </c>
      <c r="S40">
        <v>0.01</v>
      </c>
    </row>
    <row r="41" spans="3:19">
      <c r="C41">
        <v>36</v>
      </c>
      <c r="D41" t="s">
        <v>94</v>
      </c>
      <c r="E41">
        <v>0</v>
      </c>
      <c r="F41" t="s">
        <v>97</v>
      </c>
      <c r="G41">
        <v>3.69</v>
      </c>
      <c r="I41">
        <v>36</v>
      </c>
      <c r="J41" t="s">
        <v>94</v>
      </c>
      <c r="K41">
        <v>0</v>
      </c>
      <c r="L41" t="s">
        <v>97</v>
      </c>
      <c r="M41">
        <v>3.44</v>
      </c>
      <c r="O41">
        <v>36</v>
      </c>
      <c r="P41" t="s">
        <v>94</v>
      </c>
      <c r="Q41">
        <v>0</v>
      </c>
      <c r="R41" t="s">
        <v>95</v>
      </c>
      <c r="S41">
        <v>0.01</v>
      </c>
    </row>
    <row r="42" spans="3:19">
      <c r="C42">
        <v>37</v>
      </c>
      <c r="D42" t="s">
        <v>94</v>
      </c>
      <c r="E42">
        <v>0</v>
      </c>
      <c r="F42" t="s">
        <v>97</v>
      </c>
      <c r="G42">
        <v>3.44</v>
      </c>
      <c r="I42">
        <v>37</v>
      </c>
      <c r="J42" t="s">
        <v>94</v>
      </c>
      <c r="K42">
        <v>0</v>
      </c>
      <c r="L42" t="s">
        <v>97</v>
      </c>
      <c r="M42">
        <v>0.19</v>
      </c>
      <c r="O42">
        <v>37</v>
      </c>
      <c r="P42" t="s">
        <v>94</v>
      </c>
      <c r="Q42">
        <v>0</v>
      </c>
      <c r="R42" t="s">
        <v>96</v>
      </c>
      <c r="S42">
        <v>0.03</v>
      </c>
    </row>
    <row r="43" spans="3:19">
      <c r="C43">
        <v>38</v>
      </c>
      <c r="D43" t="s">
        <v>94</v>
      </c>
      <c r="E43">
        <v>0</v>
      </c>
      <c r="F43" t="s">
        <v>97</v>
      </c>
      <c r="G43">
        <v>0.19</v>
      </c>
      <c r="I43">
        <v>38</v>
      </c>
      <c r="J43" t="s">
        <v>94</v>
      </c>
      <c r="K43">
        <v>0</v>
      </c>
      <c r="L43" t="s">
        <v>97</v>
      </c>
      <c r="M43">
        <v>0.78</v>
      </c>
      <c r="O43">
        <v>38</v>
      </c>
      <c r="P43" t="s">
        <v>94</v>
      </c>
      <c r="Q43">
        <v>0</v>
      </c>
      <c r="R43" t="s">
        <v>95</v>
      </c>
      <c r="S43">
        <v>0.03</v>
      </c>
    </row>
    <row r="44" spans="3:19">
      <c r="C44">
        <v>39</v>
      </c>
      <c r="D44" t="s">
        <v>94</v>
      </c>
      <c r="E44">
        <v>0</v>
      </c>
      <c r="F44" t="s">
        <v>97</v>
      </c>
      <c r="G44">
        <v>0.78</v>
      </c>
      <c r="I44">
        <v>39</v>
      </c>
      <c r="J44" t="s">
        <v>94</v>
      </c>
      <c r="K44">
        <v>0</v>
      </c>
      <c r="L44" t="s">
        <v>97</v>
      </c>
      <c r="M44">
        <v>1.23</v>
      </c>
      <c r="O44">
        <v>39</v>
      </c>
      <c r="P44" t="s">
        <v>94</v>
      </c>
      <c r="Q44">
        <v>0</v>
      </c>
      <c r="R44" t="s">
        <v>96</v>
      </c>
      <c r="S44">
        <v>0</v>
      </c>
    </row>
    <row r="45" spans="3:19">
      <c r="C45">
        <v>40</v>
      </c>
      <c r="D45" t="s">
        <v>94</v>
      </c>
      <c r="E45">
        <v>0</v>
      </c>
      <c r="F45" t="s">
        <v>97</v>
      </c>
      <c r="G45">
        <v>1.23</v>
      </c>
      <c r="I45">
        <v>40</v>
      </c>
      <c r="J45" t="s">
        <v>94</v>
      </c>
      <c r="K45">
        <v>0</v>
      </c>
      <c r="L45" t="s">
        <v>97</v>
      </c>
      <c r="M45">
        <v>0.97</v>
      </c>
      <c r="O45">
        <v>40</v>
      </c>
      <c r="P45" t="s">
        <v>94</v>
      </c>
      <c r="Q45">
        <v>0</v>
      </c>
      <c r="R45" t="s">
        <v>95</v>
      </c>
      <c r="S45">
        <v>0</v>
      </c>
    </row>
    <row r="46" spans="3:19">
      <c r="C46">
        <v>41</v>
      </c>
      <c r="D46" t="s">
        <v>94</v>
      </c>
      <c r="E46">
        <v>0</v>
      </c>
      <c r="F46" t="s">
        <v>97</v>
      </c>
      <c r="G46">
        <v>0.97</v>
      </c>
      <c r="I46">
        <v>41</v>
      </c>
      <c r="J46" t="s">
        <v>94</v>
      </c>
      <c r="K46">
        <v>0</v>
      </c>
      <c r="L46" t="s">
        <v>97</v>
      </c>
      <c r="M46">
        <v>1.39</v>
      </c>
      <c r="O46">
        <v>41</v>
      </c>
      <c r="P46" t="s">
        <v>94</v>
      </c>
      <c r="Q46">
        <v>0</v>
      </c>
      <c r="R46" t="s">
        <v>97</v>
      </c>
      <c r="S46">
        <v>0.53</v>
      </c>
    </row>
    <row r="47" spans="3:19">
      <c r="C47">
        <v>42</v>
      </c>
      <c r="D47" t="s">
        <v>94</v>
      </c>
      <c r="E47">
        <v>0</v>
      </c>
      <c r="F47" t="s">
        <v>97</v>
      </c>
      <c r="G47">
        <v>1.39</v>
      </c>
      <c r="I47">
        <v>42</v>
      </c>
      <c r="J47" t="s">
        <v>94</v>
      </c>
      <c r="K47">
        <v>0</v>
      </c>
      <c r="L47" t="s">
        <v>97</v>
      </c>
      <c r="M47">
        <v>2.39</v>
      </c>
      <c r="O47">
        <v>42</v>
      </c>
      <c r="P47" t="s">
        <v>94</v>
      </c>
      <c r="Q47">
        <v>0</v>
      </c>
      <c r="R47" t="s">
        <v>97</v>
      </c>
      <c r="S47">
        <v>0.44</v>
      </c>
    </row>
    <row r="48" spans="3:19">
      <c r="C48">
        <v>43</v>
      </c>
      <c r="D48" t="s">
        <v>94</v>
      </c>
      <c r="E48">
        <v>0</v>
      </c>
      <c r="F48" t="s">
        <v>97</v>
      </c>
      <c r="G48">
        <v>2.39</v>
      </c>
      <c r="I48">
        <v>43</v>
      </c>
      <c r="J48" t="s">
        <v>94</v>
      </c>
      <c r="K48">
        <v>0</v>
      </c>
      <c r="L48" t="s">
        <v>97</v>
      </c>
      <c r="M48">
        <v>2.96</v>
      </c>
      <c r="O48">
        <v>43</v>
      </c>
      <c r="P48" t="s">
        <v>94</v>
      </c>
      <c r="Q48">
        <v>0</v>
      </c>
      <c r="R48" t="s">
        <v>97</v>
      </c>
      <c r="S48">
        <v>0.57999999999999996</v>
      </c>
    </row>
    <row r="49" spans="3:19">
      <c r="C49">
        <v>44</v>
      </c>
      <c r="D49" t="s">
        <v>94</v>
      </c>
      <c r="E49">
        <v>0</v>
      </c>
      <c r="F49" t="s">
        <v>97</v>
      </c>
      <c r="G49">
        <v>2.96</v>
      </c>
      <c r="I49">
        <v>44</v>
      </c>
      <c r="J49" t="s">
        <v>94</v>
      </c>
      <c r="K49">
        <v>0</v>
      </c>
      <c r="L49" t="s">
        <v>97</v>
      </c>
      <c r="M49">
        <v>2.16</v>
      </c>
      <c r="O49">
        <v>44</v>
      </c>
      <c r="P49" t="s">
        <v>94</v>
      </c>
      <c r="Q49">
        <v>0</v>
      </c>
      <c r="R49" t="s">
        <v>97</v>
      </c>
      <c r="S49">
        <v>0.7</v>
      </c>
    </row>
    <row r="50" spans="3:19">
      <c r="C50">
        <v>45</v>
      </c>
      <c r="D50" t="s">
        <v>94</v>
      </c>
      <c r="E50">
        <v>0</v>
      </c>
      <c r="F50" t="s">
        <v>97</v>
      </c>
      <c r="G50">
        <v>2.16</v>
      </c>
      <c r="I50">
        <v>45</v>
      </c>
      <c r="J50" t="s">
        <v>94</v>
      </c>
      <c r="K50">
        <v>0</v>
      </c>
      <c r="L50" t="s">
        <v>97</v>
      </c>
      <c r="M50">
        <v>1.26</v>
      </c>
      <c r="O50">
        <v>45</v>
      </c>
      <c r="P50" t="s">
        <v>94</v>
      </c>
      <c r="Q50">
        <v>0</v>
      </c>
      <c r="R50" t="s">
        <v>97</v>
      </c>
      <c r="S50">
        <v>0.31</v>
      </c>
    </row>
    <row r="51" spans="3:19">
      <c r="C51">
        <v>46</v>
      </c>
      <c r="D51" t="s">
        <v>94</v>
      </c>
      <c r="E51">
        <v>0</v>
      </c>
      <c r="F51" t="s">
        <v>97</v>
      </c>
      <c r="G51">
        <v>1.26</v>
      </c>
      <c r="I51">
        <v>46</v>
      </c>
      <c r="J51" t="s">
        <v>94</v>
      </c>
      <c r="K51">
        <v>0</v>
      </c>
      <c r="L51" t="s">
        <v>97</v>
      </c>
      <c r="M51">
        <v>1.39</v>
      </c>
      <c r="O51">
        <v>46</v>
      </c>
      <c r="P51" t="s">
        <v>94</v>
      </c>
      <c r="Q51">
        <v>0</v>
      </c>
      <c r="R51" t="s">
        <v>97</v>
      </c>
      <c r="S51">
        <v>0.08</v>
      </c>
    </row>
    <row r="52" spans="3:19">
      <c r="C52">
        <v>47</v>
      </c>
      <c r="D52" t="s">
        <v>94</v>
      </c>
      <c r="E52">
        <v>0</v>
      </c>
      <c r="F52" t="s">
        <v>97</v>
      </c>
      <c r="G52">
        <v>1.39</v>
      </c>
      <c r="I52">
        <v>47</v>
      </c>
      <c r="J52" t="s">
        <v>94</v>
      </c>
      <c r="K52">
        <v>0</v>
      </c>
      <c r="L52" t="s">
        <v>97</v>
      </c>
      <c r="M52">
        <v>0.3</v>
      </c>
      <c r="O52">
        <v>47</v>
      </c>
      <c r="P52" t="s">
        <v>94</v>
      </c>
      <c r="Q52">
        <v>0</v>
      </c>
      <c r="R52" t="s">
        <v>97</v>
      </c>
      <c r="S52">
        <v>0.49</v>
      </c>
    </row>
    <row r="53" spans="3:19">
      <c r="C53">
        <v>48</v>
      </c>
      <c r="D53" t="s">
        <v>94</v>
      </c>
      <c r="E53">
        <v>0</v>
      </c>
      <c r="F53" t="s">
        <v>97</v>
      </c>
      <c r="G53">
        <v>0.3</v>
      </c>
      <c r="I53">
        <v>48</v>
      </c>
      <c r="J53" t="s">
        <v>94</v>
      </c>
      <c r="K53">
        <v>0</v>
      </c>
      <c r="L53" t="s">
        <v>97</v>
      </c>
      <c r="M53">
        <v>0.11</v>
      </c>
      <c r="O53">
        <v>48</v>
      </c>
      <c r="P53" t="s">
        <v>94</v>
      </c>
      <c r="Q53">
        <v>0</v>
      </c>
      <c r="R53" t="s">
        <v>97</v>
      </c>
      <c r="S53">
        <v>0.67</v>
      </c>
    </row>
    <row r="54" spans="3:19">
      <c r="C54">
        <v>49</v>
      </c>
      <c r="D54" t="s">
        <v>94</v>
      </c>
      <c r="E54">
        <v>0</v>
      </c>
      <c r="F54" t="s">
        <v>97</v>
      </c>
      <c r="G54">
        <v>0.11</v>
      </c>
      <c r="I54">
        <v>49</v>
      </c>
      <c r="J54" t="s">
        <v>94</v>
      </c>
      <c r="K54">
        <v>0</v>
      </c>
      <c r="L54" t="s">
        <v>97</v>
      </c>
      <c r="M54">
        <v>0.49</v>
      </c>
      <c r="O54">
        <v>49</v>
      </c>
      <c r="P54" t="s">
        <v>94</v>
      </c>
      <c r="Q54">
        <v>0</v>
      </c>
      <c r="R54" t="s">
        <v>97</v>
      </c>
      <c r="S54">
        <v>0.55000000000000004</v>
      </c>
    </row>
    <row r="55" spans="3:19">
      <c r="C55">
        <v>50</v>
      </c>
      <c r="D55" t="s">
        <v>94</v>
      </c>
      <c r="E55">
        <v>0</v>
      </c>
      <c r="F55" t="s">
        <v>97</v>
      </c>
      <c r="G55">
        <v>0.49</v>
      </c>
      <c r="I55">
        <v>50</v>
      </c>
      <c r="J55" t="s">
        <v>94</v>
      </c>
      <c r="K55">
        <v>0</v>
      </c>
      <c r="L55" t="s">
        <v>97</v>
      </c>
      <c r="M55">
        <v>1.47</v>
      </c>
      <c r="O55">
        <v>50</v>
      </c>
      <c r="P55" t="s">
        <v>94</v>
      </c>
      <c r="Q55">
        <v>0</v>
      </c>
      <c r="R55" t="s">
        <v>97</v>
      </c>
      <c r="S55">
        <v>0.11</v>
      </c>
    </row>
    <row r="56" spans="3:19">
      <c r="C56">
        <v>51</v>
      </c>
      <c r="D56" t="s">
        <v>94</v>
      </c>
      <c r="E56">
        <v>0</v>
      </c>
      <c r="F56" t="s">
        <v>97</v>
      </c>
      <c r="G56">
        <v>1.47</v>
      </c>
      <c r="I56">
        <v>51</v>
      </c>
      <c r="J56" t="s">
        <v>94</v>
      </c>
      <c r="K56">
        <v>0</v>
      </c>
      <c r="L56" t="s">
        <v>96</v>
      </c>
      <c r="M56">
        <v>0.38</v>
      </c>
      <c r="O56">
        <v>51</v>
      </c>
      <c r="P56" t="s">
        <v>94</v>
      </c>
      <c r="Q56">
        <v>0</v>
      </c>
      <c r="R56" t="s">
        <v>97</v>
      </c>
      <c r="S56">
        <v>1.29</v>
      </c>
    </row>
    <row r="57" spans="3:19">
      <c r="C57">
        <v>52</v>
      </c>
      <c r="D57" t="s">
        <v>94</v>
      </c>
      <c r="E57">
        <v>0</v>
      </c>
      <c r="F57" t="s">
        <v>96</v>
      </c>
      <c r="G57">
        <v>0.38</v>
      </c>
      <c r="I57">
        <v>52</v>
      </c>
      <c r="J57" t="s">
        <v>94</v>
      </c>
      <c r="K57">
        <v>0</v>
      </c>
      <c r="L57" t="s">
        <v>22</v>
      </c>
      <c r="M57">
        <v>6.33</v>
      </c>
      <c r="O57">
        <v>52</v>
      </c>
      <c r="P57" t="s">
        <v>94</v>
      </c>
      <c r="Q57">
        <v>0</v>
      </c>
      <c r="R57" t="s">
        <v>97</v>
      </c>
      <c r="S57">
        <v>1.77</v>
      </c>
    </row>
    <row r="58" spans="3:19">
      <c r="C58">
        <v>53</v>
      </c>
      <c r="D58" t="s">
        <v>94</v>
      </c>
      <c r="E58">
        <v>0</v>
      </c>
      <c r="F58" t="s">
        <v>22</v>
      </c>
      <c r="G58">
        <v>6.33</v>
      </c>
      <c r="I58">
        <v>53</v>
      </c>
      <c r="J58" t="s">
        <v>94</v>
      </c>
      <c r="K58">
        <v>0</v>
      </c>
      <c r="L58" t="s">
        <v>98</v>
      </c>
      <c r="M58">
        <v>1.19</v>
      </c>
      <c r="O58">
        <v>53</v>
      </c>
      <c r="P58" t="s">
        <v>94</v>
      </c>
      <c r="Q58">
        <v>0</v>
      </c>
      <c r="R58" t="s">
        <v>97</v>
      </c>
      <c r="S58">
        <v>0.18</v>
      </c>
    </row>
    <row r="59" spans="3:19">
      <c r="C59">
        <v>54</v>
      </c>
      <c r="D59" t="s">
        <v>94</v>
      </c>
      <c r="E59">
        <v>0</v>
      </c>
      <c r="F59" t="s">
        <v>98</v>
      </c>
      <c r="G59">
        <v>1.19</v>
      </c>
      <c r="I59">
        <v>54</v>
      </c>
      <c r="J59" t="s">
        <v>94</v>
      </c>
      <c r="K59">
        <v>0</v>
      </c>
      <c r="L59" t="s">
        <v>98</v>
      </c>
      <c r="M59">
        <v>9.0399999999999991</v>
      </c>
      <c r="O59">
        <v>54</v>
      </c>
      <c r="P59" t="s">
        <v>94</v>
      </c>
      <c r="Q59">
        <v>0</v>
      </c>
      <c r="R59" t="s">
        <v>97</v>
      </c>
      <c r="S59">
        <v>3.69</v>
      </c>
    </row>
    <row r="60" spans="3:19">
      <c r="C60">
        <v>55</v>
      </c>
      <c r="D60" t="s">
        <v>94</v>
      </c>
      <c r="E60">
        <v>0</v>
      </c>
      <c r="F60" t="s">
        <v>98</v>
      </c>
      <c r="G60">
        <v>2.02</v>
      </c>
      <c r="I60">
        <v>55</v>
      </c>
      <c r="J60" t="s">
        <v>94</v>
      </c>
      <c r="K60">
        <v>0</v>
      </c>
      <c r="L60" t="s">
        <v>95</v>
      </c>
      <c r="M60">
        <v>179.33</v>
      </c>
      <c r="O60">
        <v>55</v>
      </c>
      <c r="P60" t="s">
        <v>94</v>
      </c>
      <c r="Q60">
        <v>0</v>
      </c>
      <c r="R60" t="s">
        <v>97</v>
      </c>
      <c r="S60">
        <v>3.44</v>
      </c>
    </row>
    <row r="61" spans="3:19">
      <c r="C61">
        <v>56</v>
      </c>
      <c r="D61" t="s">
        <v>94</v>
      </c>
      <c r="E61">
        <v>0</v>
      </c>
      <c r="F61" t="s">
        <v>98</v>
      </c>
      <c r="G61">
        <v>0.7</v>
      </c>
      <c r="O61">
        <v>56</v>
      </c>
      <c r="P61" t="s">
        <v>94</v>
      </c>
      <c r="Q61">
        <v>0</v>
      </c>
      <c r="R61" t="s">
        <v>97</v>
      </c>
      <c r="S61">
        <v>0.19</v>
      </c>
    </row>
    <row r="62" spans="3:19">
      <c r="C62">
        <v>57</v>
      </c>
      <c r="D62" t="s">
        <v>94</v>
      </c>
      <c r="E62">
        <v>0</v>
      </c>
      <c r="F62" t="s">
        <v>95</v>
      </c>
      <c r="G62">
        <v>114</v>
      </c>
      <c r="O62">
        <v>57</v>
      </c>
      <c r="P62" t="s">
        <v>94</v>
      </c>
      <c r="Q62">
        <v>0</v>
      </c>
      <c r="R62" t="s">
        <v>97</v>
      </c>
      <c r="S62">
        <v>0.78</v>
      </c>
    </row>
    <row r="63" spans="3:19">
      <c r="O63">
        <v>58</v>
      </c>
      <c r="P63" t="s">
        <v>94</v>
      </c>
      <c r="Q63">
        <v>0</v>
      </c>
      <c r="R63" t="s">
        <v>97</v>
      </c>
      <c r="S63">
        <v>1.23</v>
      </c>
    </row>
    <row r="64" spans="3:19">
      <c r="O64">
        <v>59</v>
      </c>
      <c r="P64" t="s">
        <v>94</v>
      </c>
      <c r="Q64">
        <v>0</v>
      </c>
      <c r="R64" t="s">
        <v>97</v>
      </c>
      <c r="S64">
        <v>0.97</v>
      </c>
    </row>
    <row r="65" spans="15:19">
      <c r="O65">
        <v>60</v>
      </c>
      <c r="P65" t="s">
        <v>94</v>
      </c>
      <c r="Q65">
        <v>0</v>
      </c>
      <c r="R65" t="s">
        <v>97</v>
      </c>
      <c r="S65">
        <v>1.39</v>
      </c>
    </row>
    <row r="66" spans="15:19">
      <c r="O66">
        <v>61</v>
      </c>
      <c r="P66" t="s">
        <v>94</v>
      </c>
      <c r="Q66">
        <v>0</v>
      </c>
      <c r="R66" t="s">
        <v>97</v>
      </c>
      <c r="S66">
        <v>2.39</v>
      </c>
    </row>
    <row r="67" spans="15:19">
      <c r="O67">
        <v>62</v>
      </c>
      <c r="P67" t="s">
        <v>94</v>
      </c>
      <c r="Q67">
        <v>0</v>
      </c>
      <c r="R67" t="s">
        <v>97</v>
      </c>
      <c r="S67">
        <v>2.96</v>
      </c>
    </row>
    <row r="68" spans="15:19">
      <c r="O68">
        <v>63</v>
      </c>
      <c r="P68" t="s">
        <v>94</v>
      </c>
      <c r="Q68">
        <v>0</v>
      </c>
      <c r="R68" t="s">
        <v>97</v>
      </c>
      <c r="S68">
        <v>2.16</v>
      </c>
    </row>
    <row r="69" spans="15:19">
      <c r="O69">
        <v>64</v>
      </c>
      <c r="P69" t="s">
        <v>94</v>
      </c>
      <c r="Q69">
        <v>0</v>
      </c>
      <c r="R69" t="s">
        <v>97</v>
      </c>
      <c r="S69">
        <v>1.26</v>
      </c>
    </row>
    <row r="70" spans="15:19">
      <c r="O70">
        <v>65</v>
      </c>
      <c r="P70" t="s">
        <v>94</v>
      </c>
      <c r="Q70">
        <v>0</v>
      </c>
      <c r="R70" t="s">
        <v>97</v>
      </c>
      <c r="S70">
        <v>1.39</v>
      </c>
    </row>
    <row r="71" spans="15:19">
      <c r="O71">
        <v>66</v>
      </c>
      <c r="P71" t="s">
        <v>94</v>
      </c>
      <c r="Q71">
        <v>0</v>
      </c>
      <c r="R71" t="s">
        <v>97</v>
      </c>
      <c r="S71">
        <v>0.3</v>
      </c>
    </row>
    <row r="72" spans="15:19">
      <c r="O72">
        <v>67</v>
      </c>
      <c r="P72" t="s">
        <v>94</v>
      </c>
      <c r="Q72">
        <v>0</v>
      </c>
      <c r="R72" t="s">
        <v>97</v>
      </c>
      <c r="S72">
        <v>0.11</v>
      </c>
    </row>
    <row r="73" spans="15:19">
      <c r="O73">
        <v>68</v>
      </c>
      <c r="P73" t="s">
        <v>94</v>
      </c>
      <c r="Q73">
        <v>0</v>
      </c>
      <c r="R73" t="s">
        <v>97</v>
      </c>
      <c r="S73">
        <v>0.49</v>
      </c>
    </row>
    <row r="74" spans="15:19">
      <c r="O74">
        <v>69</v>
      </c>
      <c r="P74" t="s">
        <v>94</v>
      </c>
      <c r="Q74">
        <v>0</v>
      </c>
      <c r="R74" t="s">
        <v>97</v>
      </c>
      <c r="S74">
        <v>1.47</v>
      </c>
    </row>
    <row r="75" spans="15:19">
      <c r="O75">
        <v>70</v>
      </c>
      <c r="P75" t="s">
        <v>94</v>
      </c>
      <c r="Q75">
        <v>0</v>
      </c>
      <c r="R75" t="s">
        <v>96</v>
      </c>
      <c r="S75">
        <v>0.38</v>
      </c>
    </row>
  </sheetData>
  <mergeCells count="3">
    <mergeCell ref="I3:N3"/>
    <mergeCell ref="C3:H3"/>
    <mergeCell ref="O3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workbookViewId="0">
      <selection activeCell="A27" sqref="A27"/>
    </sheetView>
  </sheetViews>
  <sheetFormatPr defaultRowHeight="15.6"/>
  <cols>
    <col min="1" max="5" width="10.69921875" style="1" customWidth="1"/>
    <col min="6" max="6" width="15.69921875" style="1" customWidth="1"/>
    <col min="7" max="8" width="254.69921875" style="1" customWidth="1"/>
    <col min="9" max="11" width="10.69921875" style="1" customWidth="1"/>
    <col min="12" max="12" width="29.69921875" style="1" customWidth="1"/>
    <col min="13" max="13" width="9.69921875" style="1" customWidth="1"/>
    <col min="14" max="14" width="100.69921875" style="1" customWidth="1"/>
    <col min="15" max="15" width="30.69921875" style="1" customWidth="1"/>
    <col min="16" max="16" width="50.69921875" style="1" customWidth="1"/>
    <col min="17" max="18" width="19.69921875" style="2" customWidth="1"/>
    <col min="19" max="19" width="10.69921875" style="1" customWidth="1"/>
    <col min="20" max="21" width="19.69921875" style="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</row>
    <row r="2" spans="1:21">
      <c r="A2" s="1">
        <v>1</v>
      </c>
      <c r="B2" s="1">
        <v>0</v>
      </c>
      <c r="C2" s="1">
        <v>227680</v>
      </c>
      <c r="D2" s="1">
        <v>61</v>
      </c>
      <c r="E2" s="1">
        <v>2010</v>
      </c>
      <c r="F2" s="1" t="s">
        <v>21</v>
      </c>
      <c r="G2" s="1" t="s">
        <v>22</v>
      </c>
      <c r="H2" s="1" t="s">
        <v>23</v>
      </c>
      <c r="I2" s="1">
        <v>10</v>
      </c>
      <c r="J2" s="1">
        <v>1</v>
      </c>
      <c r="K2" s="1">
        <v>1626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2">
        <v>2707.8335309300001</v>
      </c>
      <c r="R2" s="2">
        <v>35488.116554100001</v>
      </c>
      <c r="S2" s="1">
        <v>1</v>
      </c>
      <c r="T2" s="2">
        <v>785.81282316099998</v>
      </c>
      <c r="U2" s="2">
        <v>10161.8910738</v>
      </c>
    </row>
    <row r="3" spans="1:21">
      <c r="A3" s="1">
        <v>2</v>
      </c>
      <c r="B3" s="1">
        <v>0</v>
      </c>
      <c r="C3" s="1">
        <v>227680</v>
      </c>
      <c r="D3" s="1">
        <v>61</v>
      </c>
      <c r="E3" s="1">
        <v>2010</v>
      </c>
      <c r="F3" s="1" t="s">
        <v>21</v>
      </c>
      <c r="G3" s="1" t="s">
        <v>22</v>
      </c>
      <c r="H3" s="1" t="s">
        <v>23</v>
      </c>
      <c r="I3" s="1">
        <v>10</v>
      </c>
      <c r="J3" s="1">
        <v>2</v>
      </c>
      <c r="K3" s="1">
        <v>1711</v>
      </c>
      <c r="L3" s="1" t="s">
        <v>24</v>
      </c>
      <c r="M3" s="1" t="s">
        <v>29</v>
      </c>
      <c r="N3" s="1" t="s">
        <v>26</v>
      </c>
      <c r="O3" s="1" t="s">
        <v>27</v>
      </c>
      <c r="P3" s="1" t="s">
        <v>28</v>
      </c>
      <c r="Q3" s="2">
        <v>1059.2638613399999</v>
      </c>
      <c r="R3" s="2">
        <v>14806.9822601</v>
      </c>
      <c r="S3" s="1">
        <v>9</v>
      </c>
      <c r="T3" s="2">
        <v>2907.0770798200001</v>
      </c>
      <c r="U3" s="2">
        <v>86287.125815799998</v>
      </c>
    </row>
    <row r="4" spans="1:21">
      <c r="A4" s="1">
        <v>3</v>
      </c>
      <c r="B4" s="1">
        <v>1</v>
      </c>
      <c r="C4" s="1">
        <v>231437</v>
      </c>
      <c r="D4" s="1">
        <v>61</v>
      </c>
      <c r="E4" s="1">
        <v>2014</v>
      </c>
      <c r="F4" s="1" t="s">
        <v>21</v>
      </c>
      <c r="G4" s="1" t="s">
        <v>30</v>
      </c>
      <c r="H4" s="1" t="s">
        <v>31</v>
      </c>
      <c r="I4" s="1">
        <v>0</v>
      </c>
      <c r="J4" s="1">
        <v>2</v>
      </c>
      <c r="K4" s="1">
        <v>1711</v>
      </c>
      <c r="L4" s="1" t="s">
        <v>24</v>
      </c>
      <c r="M4" s="1" t="s">
        <v>29</v>
      </c>
      <c r="N4" s="1" t="s">
        <v>26</v>
      </c>
      <c r="O4" s="1" t="s">
        <v>27</v>
      </c>
      <c r="P4" s="1" t="s">
        <v>28</v>
      </c>
      <c r="Q4" s="2">
        <v>1059.2638613399999</v>
      </c>
      <c r="R4" s="2">
        <v>14806.9822601</v>
      </c>
      <c r="S4" s="1">
        <v>0</v>
      </c>
      <c r="T4" s="2">
        <v>393.82030677699998</v>
      </c>
      <c r="U4" s="2">
        <v>2862.4071350499999</v>
      </c>
    </row>
    <row r="5" spans="1:21">
      <c r="A5" s="1">
        <v>4</v>
      </c>
      <c r="B5" s="1">
        <v>2</v>
      </c>
      <c r="C5" s="1">
        <v>236386</v>
      </c>
      <c r="D5" s="1">
        <v>61</v>
      </c>
      <c r="E5" s="1">
        <v>20071</v>
      </c>
      <c r="F5" s="1" t="s">
        <v>21</v>
      </c>
      <c r="G5" s="1" t="s">
        <v>32</v>
      </c>
      <c r="H5" s="1" t="s">
        <v>33</v>
      </c>
      <c r="I5" s="1">
        <v>17</v>
      </c>
      <c r="J5" s="1">
        <v>0</v>
      </c>
      <c r="K5" s="1">
        <v>706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2">
        <v>1984.73406305</v>
      </c>
      <c r="R5" s="2">
        <v>94315.949477000002</v>
      </c>
      <c r="S5" s="1">
        <v>13</v>
      </c>
      <c r="T5" s="2">
        <v>3107.6647501000002</v>
      </c>
      <c r="U5" s="2">
        <v>133634.245398</v>
      </c>
    </row>
    <row r="6" spans="1:21">
      <c r="A6" s="1">
        <v>5</v>
      </c>
      <c r="B6" s="1">
        <v>2</v>
      </c>
      <c r="C6" s="1">
        <v>236386</v>
      </c>
      <c r="D6" s="1">
        <v>61</v>
      </c>
      <c r="E6" s="1">
        <v>20071</v>
      </c>
      <c r="F6" s="1" t="s">
        <v>21</v>
      </c>
      <c r="G6" s="1" t="s">
        <v>32</v>
      </c>
      <c r="H6" s="1" t="s">
        <v>33</v>
      </c>
      <c r="I6" s="1">
        <v>17</v>
      </c>
      <c r="J6" s="1">
        <v>1</v>
      </c>
      <c r="K6" s="1">
        <v>1626</v>
      </c>
      <c r="L6" s="1" t="s">
        <v>24</v>
      </c>
      <c r="M6" s="1" t="s">
        <v>25</v>
      </c>
      <c r="N6" s="1" t="s">
        <v>26</v>
      </c>
      <c r="O6" s="1" t="s">
        <v>27</v>
      </c>
      <c r="P6" s="1" t="s">
        <v>28</v>
      </c>
      <c r="Q6" s="2">
        <v>2707.8335309300001</v>
      </c>
      <c r="R6" s="2">
        <v>35488.116554100001</v>
      </c>
      <c r="S6" s="1">
        <v>4</v>
      </c>
      <c r="T6" s="2">
        <v>1781.29184209</v>
      </c>
      <c r="U6" s="2">
        <v>37049.9127056</v>
      </c>
    </row>
    <row r="7" spans="1:21">
      <c r="A7" s="1">
        <v>6</v>
      </c>
      <c r="B7" s="1">
        <v>3</v>
      </c>
      <c r="C7" s="1">
        <v>236390</v>
      </c>
      <c r="D7" s="1">
        <v>61</v>
      </c>
      <c r="E7" s="1">
        <v>20071</v>
      </c>
      <c r="F7" s="1" t="s">
        <v>21</v>
      </c>
      <c r="G7" s="1" t="s">
        <v>32</v>
      </c>
      <c r="H7" s="1" t="s">
        <v>33</v>
      </c>
      <c r="I7" s="1">
        <v>5</v>
      </c>
      <c r="J7" s="1">
        <v>1</v>
      </c>
      <c r="K7" s="1">
        <v>1626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2">
        <v>2707.8335309300001</v>
      </c>
      <c r="R7" s="2">
        <v>35488.116554100001</v>
      </c>
      <c r="S7" s="1">
        <v>5</v>
      </c>
      <c r="T7" s="2">
        <v>904.37882984199996</v>
      </c>
      <c r="U7" s="2">
        <v>50062.1213852</v>
      </c>
    </row>
    <row r="8" spans="1:21">
      <c r="A8" s="1">
        <v>7</v>
      </c>
      <c r="B8" s="1">
        <v>4</v>
      </c>
      <c r="C8" s="1">
        <v>236397</v>
      </c>
      <c r="D8" s="1">
        <v>61</v>
      </c>
      <c r="E8" s="1">
        <v>20071</v>
      </c>
      <c r="F8" s="1" t="s">
        <v>21</v>
      </c>
      <c r="G8" s="1" t="s">
        <v>32</v>
      </c>
      <c r="H8" s="1" t="s">
        <v>33</v>
      </c>
      <c r="I8" s="1">
        <v>16</v>
      </c>
      <c r="J8" s="1">
        <v>1</v>
      </c>
      <c r="K8" s="1">
        <v>1626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2">
        <v>2707.8335309300001</v>
      </c>
      <c r="R8" s="2">
        <v>35488.116554100001</v>
      </c>
      <c r="S8" s="1">
        <v>16</v>
      </c>
      <c r="T8" s="2">
        <v>2287.1702394200001</v>
      </c>
      <c r="U8" s="2">
        <v>156032.52756700001</v>
      </c>
    </row>
    <row r="9" spans="1:21">
      <c r="A9" s="1">
        <v>8</v>
      </c>
      <c r="B9" s="1">
        <v>5</v>
      </c>
      <c r="C9" s="1">
        <v>236434</v>
      </c>
      <c r="D9" s="1">
        <v>61</v>
      </c>
      <c r="E9" s="1">
        <v>20071</v>
      </c>
      <c r="F9" s="1" t="s">
        <v>21</v>
      </c>
      <c r="G9" s="1" t="s">
        <v>32</v>
      </c>
      <c r="H9" s="1" t="s">
        <v>33</v>
      </c>
      <c r="I9" s="1">
        <v>996</v>
      </c>
      <c r="J9" s="1">
        <v>0</v>
      </c>
      <c r="K9" s="1">
        <v>706</v>
      </c>
      <c r="L9" s="1" t="s">
        <v>34</v>
      </c>
      <c r="M9" s="1" t="s">
        <v>35</v>
      </c>
      <c r="N9" s="1" t="s">
        <v>36</v>
      </c>
      <c r="O9" s="1" t="s">
        <v>37</v>
      </c>
      <c r="P9" s="1" t="s">
        <v>38</v>
      </c>
      <c r="Q9" s="2">
        <v>1984.73406305</v>
      </c>
      <c r="R9" s="2">
        <v>94315.949477000002</v>
      </c>
      <c r="S9" s="1">
        <v>88</v>
      </c>
      <c r="T9" s="2">
        <v>19243.855137300001</v>
      </c>
      <c r="U9" s="2">
        <v>884562.01225100004</v>
      </c>
    </row>
    <row r="10" spans="1:21">
      <c r="A10" s="1">
        <v>9</v>
      </c>
      <c r="B10" s="1">
        <v>5</v>
      </c>
      <c r="C10" s="1">
        <v>236434</v>
      </c>
      <c r="D10" s="1">
        <v>61</v>
      </c>
      <c r="E10" s="1">
        <v>20071</v>
      </c>
      <c r="F10" s="1" t="s">
        <v>21</v>
      </c>
      <c r="G10" s="1" t="s">
        <v>32</v>
      </c>
      <c r="H10" s="1" t="s">
        <v>33</v>
      </c>
      <c r="I10" s="1">
        <v>996</v>
      </c>
      <c r="J10" s="1">
        <v>1</v>
      </c>
      <c r="K10" s="1">
        <v>1626</v>
      </c>
      <c r="L10" s="1" t="s">
        <v>24</v>
      </c>
      <c r="M10" s="1" t="s">
        <v>25</v>
      </c>
      <c r="N10" s="1" t="s">
        <v>26</v>
      </c>
      <c r="O10" s="1" t="s">
        <v>27</v>
      </c>
      <c r="P10" s="1" t="s">
        <v>28</v>
      </c>
      <c r="Q10" s="2">
        <v>2707.8335309300001</v>
      </c>
      <c r="R10" s="2">
        <v>35488.116554100001</v>
      </c>
      <c r="S10" s="1">
        <v>610</v>
      </c>
      <c r="T10" s="2">
        <v>19840.877412500002</v>
      </c>
      <c r="U10" s="2">
        <v>6098085.9521000003</v>
      </c>
    </row>
    <row r="11" spans="1:21">
      <c r="A11" s="1">
        <v>10</v>
      </c>
      <c r="B11" s="1">
        <v>5</v>
      </c>
      <c r="C11" s="1">
        <v>236434</v>
      </c>
      <c r="D11" s="1">
        <v>61</v>
      </c>
      <c r="E11" s="1">
        <v>20071</v>
      </c>
      <c r="F11" s="1" t="s">
        <v>21</v>
      </c>
      <c r="G11" s="1" t="s">
        <v>32</v>
      </c>
      <c r="H11" s="1" t="s">
        <v>33</v>
      </c>
      <c r="I11" s="1">
        <v>996</v>
      </c>
      <c r="J11" s="1">
        <v>2</v>
      </c>
      <c r="K11" s="1">
        <v>1711</v>
      </c>
      <c r="L11" s="1" t="s">
        <v>24</v>
      </c>
      <c r="M11" s="1" t="s">
        <v>29</v>
      </c>
      <c r="N11" s="1" t="s">
        <v>26</v>
      </c>
      <c r="O11" s="1" t="s">
        <v>27</v>
      </c>
      <c r="P11" s="1" t="s">
        <v>28</v>
      </c>
      <c r="Q11" s="2">
        <v>1059.2638613399999</v>
      </c>
      <c r="R11" s="2">
        <v>14806.9822601</v>
      </c>
      <c r="S11" s="1">
        <v>298</v>
      </c>
      <c r="T11" s="2">
        <v>16430.298925300001</v>
      </c>
      <c r="U11" s="2">
        <v>2980193.7507500001</v>
      </c>
    </row>
    <row r="12" spans="1:21">
      <c r="A12" s="1">
        <v>11</v>
      </c>
      <c r="B12" s="1">
        <v>6</v>
      </c>
      <c r="C12" s="1">
        <v>234251</v>
      </c>
      <c r="D12" s="1">
        <v>61</v>
      </c>
      <c r="E12" s="1">
        <v>20051</v>
      </c>
      <c r="F12" s="1" t="s">
        <v>21</v>
      </c>
      <c r="G12" s="1" t="s">
        <v>39</v>
      </c>
      <c r="H12" s="1" t="s">
        <v>40</v>
      </c>
      <c r="I12" s="1">
        <v>1333</v>
      </c>
      <c r="J12" s="1">
        <v>0</v>
      </c>
      <c r="K12" s="1">
        <v>706</v>
      </c>
      <c r="L12" s="1" t="s">
        <v>34</v>
      </c>
      <c r="M12" s="1" t="s">
        <v>35</v>
      </c>
      <c r="N12" s="1" t="s">
        <v>36</v>
      </c>
      <c r="O12" s="1" t="s">
        <v>37</v>
      </c>
      <c r="P12" s="1" t="s">
        <v>38</v>
      </c>
      <c r="Q12" s="2">
        <v>1984.73406305</v>
      </c>
      <c r="R12" s="2">
        <v>94315.949477000002</v>
      </c>
      <c r="S12" s="1">
        <v>352</v>
      </c>
      <c r="T12" s="2">
        <v>32888.064670799999</v>
      </c>
      <c r="U12" s="2">
        <v>3521075.98165</v>
      </c>
    </row>
    <row r="13" spans="1:21">
      <c r="A13" s="1">
        <v>12</v>
      </c>
      <c r="B13" s="1">
        <v>6</v>
      </c>
      <c r="C13" s="1">
        <v>234251</v>
      </c>
      <c r="D13" s="1">
        <v>61</v>
      </c>
      <c r="E13" s="1">
        <v>20051</v>
      </c>
      <c r="F13" s="1" t="s">
        <v>21</v>
      </c>
      <c r="G13" s="1" t="s">
        <v>39</v>
      </c>
      <c r="H13" s="1" t="s">
        <v>40</v>
      </c>
      <c r="I13" s="1">
        <v>1333</v>
      </c>
      <c r="J13" s="1">
        <v>1</v>
      </c>
      <c r="K13" s="1">
        <v>1626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28</v>
      </c>
      <c r="Q13" s="2">
        <v>2707.8335309300001</v>
      </c>
      <c r="R13" s="2">
        <v>35488.116554100001</v>
      </c>
      <c r="S13" s="1">
        <v>943</v>
      </c>
      <c r="T13" s="2">
        <v>24613.854534599999</v>
      </c>
      <c r="U13" s="2">
        <v>9430879.7231399994</v>
      </c>
    </row>
    <row r="14" spans="1:21">
      <c r="A14" s="1">
        <v>13</v>
      </c>
      <c r="B14" s="1">
        <v>6</v>
      </c>
      <c r="C14" s="1">
        <v>234251</v>
      </c>
      <c r="D14" s="1">
        <v>61</v>
      </c>
      <c r="E14" s="1">
        <v>20051</v>
      </c>
      <c r="F14" s="1" t="s">
        <v>21</v>
      </c>
      <c r="G14" s="1" t="s">
        <v>39</v>
      </c>
      <c r="H14" s="1" t="s">
        <v>40</v>
      </c>
      <c r="I14" s="1">
        <v>1333</v>
      </c>
      <c r="J14" s="1">
        <v>2</v>
      </c>
      <c r="K14" s="1">
        <v>1711</v>
      </c>
      <c r="L14" s="1" t="s">
        <v>24</v>
      </c>
      <c r="M14" s="1" t="s">
        <v>29</v>
      </c>
      <c r="N14" s="1" t="s">
        <v>26</v>
      </c>
      <c r="O14" s="1" t="s">
        <v>27</v>
      </c>
      <c r="P14" s="1" t="s">
        <v>28</v>
      </c>
      <c r="Q14" s="2">
        <v>1059.2638613399999</v>
      </c>
      <c r="R14" s="2">
        <v>14806.9822601</v>
      </c>
      <c r="S14" s="1">
        <v>38</v>
      </c>
      <c r="T14" s="2">
        <v>3442.4288533700001</v>
      </c>
      <c r="U14" s="2">
        <v>375455.75276800001</v>
      </c>
    </row>
    <row r="15" spans="1:21">
      <c r="A15" s="1">
        <v>14</v>
      </c>
      <c r="B15" s="1">
        <v>7</v>
      </c>
      <c r="C15" s="1">
        <v>234961</v>
      </c>
      <c r="D15" s="1">
        <v>61</v>
      </c>
      <c r="E15" s="1">
        <v>2014</v>
      </c>
      <c r="F15" s="1" t="s">
        <v>21</v>
      </c>
      <c r="G15" s="1" t="s">
        <v>30</v>
      </c>
      <c r="H15" s="1" t="s">
        <v>31</v>
      </c>
      <c r="I15" s="1">
        <v>8</v>
      </c>
      <c r="J15" s="1">
        <v>1</v>
      </c>
      <c r="K15" s="1">
        <v>1626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2">
        <v>2707.8335309300001</v>
      </c>
      <c r="R15" s="2">
        <v>35488.116554100001</v>
      </c>
      <c r="S15" s="1">
        <v>8</v>
      </c>
      <c r="T15" s="2">
        <v>1041.0632321600001</v>
      </c>
      <c r="U15" s="2">
        <v>77406.379503499993</v>
      </c>
    </row>
    <row r="16" spans="1:21">
      <c r="A16" s="1">
        <v>15</v>
      </c>
      <c r="B16" s="1">
        <v>8</v>
      </c>
      <c r="C16" s="1">
        <v>234962</v>
      </c>
      <c r="D16" s="1">
        <v>61</v>
      </c>
      <c r="E16" s="1">
        <v>2014</v>
      </c>
      <c r="F16" s="1" t="s">
        <v>21</v>
      </c>
      <c r="G16" s="1" t="s">
        <v>30</v>
      </c>
      <c r="H16" s="1" t="s">
        <v>31</v>
      </c>
      <c r="I16" s="1">
        <v>84</v>
      </c>
      <c r="J16" s="1">
        <v>1</v>
      </c>
      <c r="K16" s="1">
        <v>1626</v>
      </c>
      <c r="L16" s="1" t="s">
        <v>24</v>
      </c>
      <c r="M16" s="1" t="s">
        <v>25</v>
      </c>
      <c r="N16" s="1" t="s">
        <v>26</v>
      </c>
      <c r="O16" s="1" t="s">
        <v>27</v>
      </c>
      <c r="P16" s="1" t="s">
        <v>28</v>
      </c>
      <c r="Q16" s="2">
        <v>2707.8335309300001</v>
      </c>
      <c r="R16" s="2">
        <v>35488.116554100001</v>
      </c>
      <c r="S16" s="1">
        <v>0</v>
      </c>
      <c r="T16" s="2">
        <v>131.96216966099999</v>
      </c>
      <c r="U16" s="2">
        <v>382.55131333899999</v>
      </c>
    </row>
    <row r="17" spans="1:21">
      <c r="A17" s="1">
        <v>16</v>
      </c>
      <c r="B17" s="1">
        <v>8</v>
      </c>
      <c r="C17" s="1">
        <v>234962</v>
      </c>
      <c r="D17" s="1">
        <v>61</v>
      </c>
      <c r="E17" s="1">
        <v>2014</v>
      </c>
      <c r="F17" s="1" t="s">
        <v>21</v>
      </c>
      <c r="G17" s="1" t="s">
        <v>30</v>
      </c>
      <c r="H17" s="1" t="s">
        <v>31</v>
      </c>
      <c r="I17" s="1">
        <v>84</v>
      </c>
      <c r="J17" s="1">
        <v>2</v>
      </c>
      <c r="K17" s="1">
        <v>1711</v>
      </c>
      <c r="L17" s="1" t="s">
        <v>24</v>
      </c>
      <c r="M17" s="1" t="s">
        <v>29</v>
      </c>
      <c r="N17" s="1" t="s">
        <v>26</v>
      </c>
      <c r="O17" s="1" t="s">
        <v>27</v>
      </c>
      <c r="P17" s="1" t="s">
        <v>28</v>
      </c>
      <c r="Q17" s="2">
        <v>1059.2638613399999</v>
      </c>
      <c r="R17" s="2">
        <v>14806.9822601</v>
      </c>
      <c r="S17" s="1">
        <v>84</v>
      </c>
      <c r="T17" s="2">
        <v>7987.0993613999999</v>
      </c>
      <c r="U17" s="2">
        <v>840991.15667499998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E53-C731-467A-829C-3BD3FFC45BDE}">
  <dimension ref="C4:G17"/>
  <sheetViews>
    <sheetView workbookViewId="0">
      <selection activeCell="C26" sqref="C26"/>
    </sheetView>
  </sheetViews>
  <sheetFormatPr defaultRowHeight="15.6"/>
  <cols>
    <col min="3" max="3" width="18.59765625" bestFit="1" customWidth="1"/>
    <col min="5" max="5" width="15.09765625" bestFit="1" customWidth="1"/>
  </cols>
  <sheetData>
    <row r="4" spans="3:7">
      <c r="C4" t="s">
        <v>86</v>
      </c>
      <c r="D4" t="s">
        <v>85</v>
      </c>
      <c r="E4" t="s">
        <v>25</v>
      </c>
      <c r="F4" t="s">
        <v>29</v>
      </c>
      <c r="G4" t="s">
        <v>57</v>
      </c>
    </row>
    <row r="5" spans="3:7">
      <c r="C5" s="3" t="s">
        <v>22</v>
      </c>
      <c r="E5">
        <v>1</v>
      </c>
      <c r="F5">
        <v>9</v>
      </c>
      <c r="G5">
        <v>10</v>
      </c>
    </row>
    <row r="6" spans="3:7">
      <c r="C6" s="3" t="s">
        <v>42</v>
      </c>
      <c r="E6">
        <v>8</v>
      </c>
      <c r="F6">
        <v>84</v>
      </c>
      <c r="G6">
        <v>92</v>
      </c>
    </row>
    <row r="7" spans="3:7">
      <c r="C7" s="3" t="s">
        <v>39</v>
      </c>
      <c r="D7">
        <v>352</v>
      </c>
      <c r="E7">
        <v>943</v>
      </c>
      <c r="F7">
        <v>38</v>
      </c>
      <c r="G7">
        <v>1333</v>
      </c>
    </row>
    <row r="8" spans="3:7">
      <c r="C8" s="3" t="s">
        <v>41</v>
      </c>
      <c r="D8">
        <v>101</v>
      </c>
      <c r="E8">
        <v>635</v>
      </c>
      <c r="F8">
        <v>298</v>
      </c>
      <c r="G8">
        <v>1034</v>
      </c>
    </row>
    <row r="9" spans="3:7">
      <c r="C9" s="3" t="s">
        <v>57</v>
      </c>
      <c r="D9" s="24">
        <v>453</v>
      </c>
      <c r="E9" s="24">
        <v>1587</v>
      </c>
      <c r="F9" s="24">
        <v>429</v>
      </c>
      <c r="G9" s="24">
        <v>2469</v>
      </c>
    </row>
    <row r="11" spans="3:7">
      <c r="C11" s="3" t="s">
        <v>47</v>
      </c>
      <c r="D11" t="s">
        <v>62</v>
      </c>
      <c r="E11" t="s">
        <v>88</v>
      </c>
    </row>
    <row r="12" spans="3:7">
      <c r="C12" s="3" t="s">
        <v>22</v>
      </c>
      <c r="D12">
        <v>10</v>
      </c>
      <c r="E12">
        <f>D12*63</f>
        <v>630</v>
      </c>
    </row>
    <row r="13" spans="3:7">
      <c r="C13" s="3" t="s">
        <v>42</v>
      </c>
      <c r="D13">
        <v>92</v>
      </c>
      <c r="E13">
        <f>D13*2.5</f>
        <v>230</v>
      </c>
    </row>
    <row r="14" spans="3:7">
      <c r="C14" s="3" t="s">
        <v>39</v>
      </c>
      <c r="D14">
        <v>1333</v>
      </c>
      <c r="E14">
        <f>D14*79.67</f>
        <v>106200.11</v>
      </c>
    </row>
    <row r="15" spans="3:7">
      <c r="C15" s="3" t="s">
        <v>41</v>
      </c>
      <c r="D15">
        <v>1034</v>
      </c>
      <c r="E15">
        <f>D15*30</f>
        <v>31020</v>
      </c>
    </row>
    <row r="16" spans="3:7">
      <c r="C16" s="3" t="s">
        <v>57</v>
      </c>
      <c r="D16" s="24">
        <v>2469</v>
      </c>
      <c r="E16">
        <f>SUM(E12:E15)</f>
        <v>138080.10999999999</v>
      </c>
    </row>
    <row r="17" spans="3:3">
      <c r="C1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094D-CE04-4741-9977-406FD76BA41B}">
  <dimension ref="B1:R17"/>
  <sheetViews>
    <sheetView topLeftCell="A105" workbookViewId="0">
      <selection activeCell="G26" sqref="G26"/>
    </sheetView>
  </sheetViews>
  <sheetFormatPr defaultRowHeight="15.6"/>
  <cols>
    <col min="2" max="2" width="9.3984375" bestFit="1" customWidth="1"/>
    <col min="3" max="3" width="13.19921875" bestFit="1" customWidth="1"/>
    <col min="5" max="5" width="9.296875" bestFit="1" customWidth="1"/>
    <col min="6" max="6" width="17.5" bestFit="1" customWidth="1"/>
    <col min="7" max="7" width="12.796875" bestFit="1" customWidth="1"/>
    <col min="8" max="8" width="17.796875" bestFit="1" customWidth="1"/>
    <col min="13" max="13" width="17.69921875" bestFit="1" customWidth="1"/>
    <col min="14" max="14" width="9.796875" bestFit="1" customWidth="1"/>
  </cols>
  <sheetData>
    <row r="1" spans="2:18">
      <c r="B1" s="16" t="s">
        <v>78</v>
      </c>
      <c r="C1" s="60" t="s">
        <v>77</v>
      </c>
      <c r="D1" s="60"/>
      <c r="E1" s="60"/>
      <c r="F1" s="60"/>
      <c r="G1" s="60"/>
      <c r="H1" s="60"/>
    </row>
    <row r="2" spans="2:18">
      <c r="B2" s="17" t="s">
        <v>79</v>
      </c>
      <c r="C2" s="4" t="s">
        <v>73</v>
      </c>
      <c r="D2" s="4" t="s">
        <v>74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2:18">
      <c r="B3" s="4" t="s">
        <v>60</v>
      </c>
      <c r="C3" s="18">
        <v>50</v>
      </c>
      <c r="D3" s="4">
        <f>25/100</f>
        <v>0.25</v>
      </c>
      <c r="E3" s="4">
        <v>453.93</v>
      </c>
      <c r="F3" s="4">
        <f>D3*10000*0.11*0.51</f>
        <v>140.25</v>
      </c>
      <c r="G3" s="19">
        <f>E3*F3</f>
        <v>63663.682500000003</v>
      </c>
      <c r="H3" s="19">
        <f>G3*44/12</f>
        <v>233433.50250000003</v>
      </c>
      <c r="M3" s="61" t="s">
        <v>66</v>
      </c>
      <c r="N3" s="61"/>
      <c r="O3" s="61"/>
      <c r="P3" s="61"/>
      <c r="Q3" s="61"/>
      <c r="R3" s="61"/>
    </row>
    <row r="4" spans="2:18">
      <c r="B4" s="4" t="s">
        <v>61</v>
      </c>
      <c r="C4" s="18" t="s">
        <v>25</v>
      </c>
      <c r="D4" s="4">
        <f>150/100</f>
        <v>1.5</v>
      </c>
      <c r="E4" s="4">
        <v>1586</v>
      </c>
      <c r="F4" s="4">
        <f>D4*10000*0.08*0.51</f>
        <v>612</v>
      </c>
      <c r="G4" s="19">
        <f>E4*F4</f>
        <v>970632</v>
      </c>
      <c r="H4" s="19">
        <f t="shared" ref="H4:H5" si="0">G4*44/12</f>
        <v>3558984</v>
      </c>
      <c r="M4" s="61" t="s">
        <v>67</v>
      </c>
      <c r="N4" s="61"/>
      <c r="O4" s="61"/>
      <c r="P4" s="61"/>
      <c r="Q4" s="61"/>
      <c r="R4" s="61"/>
    </row>
    <row r="5" spans="2:18">
      <c r="B5" s="4" t="s">
        <v>61</v>
      </c>
      <c r="C5" s="18" t="s">
        <v>29</v>
      </c>
      <c r="D5" s="4">
        <f>250/100</f>
        <v>2.5</v>
      </c>
      <c r="E5" s="4">
        <v>428.57</v>
      </c>
      <c r="F5" s="4">
        <f>D5*10000*0.06*0.51</f>
        <v>765</v>
      </c>
      <c r="G5" s="19">
        <f>E5*F5</f>
        <v>327856.05</v>
      </c>
      <c r="H5" s="19">
        <f t="shared" si="0"/>
        <v>1202138.8499999999</v>
      </c>
      <c r="M5" s="61" t="s">
        <v>68</v>
      </c>
      <c r="N5" s="61"/>
      <c r="O5" s="61"/>
      <c r="P5" s="61"/>
      <c r="Q5" s="61"/>
      <c r="R5" s="61"/>
    </row>
    <row r="6" spans="2:18">
      <c r="B6" s="60" t="s">
        <v>57</v>
      </c>
      <c r="C6" s="60"/>
      <c r="D6" s="60"/>
      <c r="E6" s="20">
        <f>SUM(E3:E5)</f>
        <v>2468.5</v>
      </c>
      <c r="F6" s="20">
        <f>SUM(F3:F5)</f>
        <v>1517.25</v>
      </c>
      <c r="G6" s="20">
        <f>SUM(G3:G5)</f>
        <v>1362151.7324999999</v>
      </c>
      <c r="H6" s="20">
        <f>SUM(H3:H5)</f>
        <v>4994556.3525</v>
      </c>
      <c r="M6" s="61" t="s">
        <v>69</v>
      </c>
      <c r="N6" s="61"/>
      <c r="O6" s="61"/>
      <c r="P6" s="61"/>
      <c r="Q6" s="61"/>
      <c r="R6" s="61"/>
    </row>
    <row r="7" spans="2:18">
      <c r="F7" s="26">
        <f>F6/3</f>
        <v>505.75</v>
      </c>
      <c r="G7" s="26">
        <f>G6/3</f>
        <v>454050.57749999996</v>
      </c>
      <c r="H7" s="26">
        <f>H6/3</f>
        <v>1664852.1174999999</v>
      </c>
    </row>
    <row r="8" spans="2:18">
      <c r="M8" t="s">
        <v>70</v>
      </c>
      <c r="N8" t="s">
        <v>71</v>
      </c>
      <c r="O8" t="s">
        <v>55</v>
      </c>
      <c r="P8" t="s">
        <v>72</v>
      </c>
    </row>
    <row r="9" spans="2:18">
      <c r="M9" t="s">
        <v>60</v>
      </c>
      <c r="N9">
        <v>50</v>
      </c>
      <c r="O9">
        <v>0.12</v>
      </c>
      <c r="P9">
        <v>0.51</v>
      </c>
    </row>
    <row r="10" spans="2:18">
      <c r="M10" t="s">
        <v>61</v>
      </c>
      <c r="N10" t="s">
        <v>25</v>
      </c>
      <c r="O10">
        <v>0.12</v>
      </c>
      <c r="P10">
        <v>0.51</v>
      </c>
    </row>
    <row r="11" spans="2:18">
      <c r="M11" t="s">
        <v>61</v>
      </c>
      <c r="N11" t="s">
        <v>29</v>
      </c>
      <c r="O11">
        <v>0.12</v>
      </c>
      <c r="P11">
        <v>0.51</v>
      </c>
    </row>
    <row r="13" spans="2:18">
      <c r="M13" s="4" t="s">
        <v>47</v>
      </c>
      <c r="N13" s="4">
        <v>50</v>
      </c>
      <c r="O13" s="4" t="s">
        <v>25</v>
      </c>
      <c r="P13" s="4" t="s">
        <v>29</v>
      </c>
    </row>
    <row r="14" spans="2:18">
      <c r="M14" s="4" t="s">
        <v>22</v>
      </c>
      <c r="N14">
        <v>0.11</v>
      </c>
      <c r="O14">
        <v>0.08</v>
      </c>
      <c r="P14">
        <v>0.06</v>
      </c>
    </row>
    <row r="15" spans="2:18">
      <c r="M15" s="4" t="s">
        <v>48</v>
      </c>
      <c r="N15">
        <v>0.11</v>
      </c>
      <c r="O15">
        <v>0.08</v>
      </c>
      <c r="P15">
        <v>0.06</v>
      </c>
    </row>
    <row r="16" spans="2:18">
      <c r="M16" s="4" t="s">
        <v>49</v>
      </c>
      <c r="N16">
        <v>0.11</v>
      </c>
      <c r="O16">
        <v>0.08</v>
      </c>
      <c r="P16">
        <v>0.06</v>
      </c>
    </row>
    <row r="17" spans="13:16">
      <c r="M17" s="4" t="s">
        <v>46</v>
      </c>
      <c r="N17">
        <v>0.11</v>
      </c>
      <c r="O17">
        <v>0.08</v>
      </c>
      <c r="P17">
        <v>0.06</v>
      </c>
    </row>
  </sheetData>
  <mergeCells count="6">
    <mergeCell ref="C1:H1"/>
    <mergeCell ref="B6:D6"/>
    <mergeCell ref="M3:R3"/>
    <mergeCell ref="M4:R4"/>
    <mergeCell ref="M5:R5"/>
    <mergeCell ref="M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Detail1</vt:lpstr>
      <vt:lpstr>Tuplah</vt:lpstr>
      <vt:lpstr>Tuplah (2)</vt:lpstr>
      <vt:lpstr>2021</vt:lpstr>
      <vt:lpstr>Export_Output</vt:lpstr>
      <vt:lpstr>Tutupan lahan</vt:lpstr>
      <vt:lpstr>Gambut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X380 Yoga</dc:creator>
  <cp:lastModifiedBy>Acer Nitro</cp:lastModifiedBy>
  <dcterms:created xsi:type="dcterms:W3CDTF">2026-09-21T12:14:45Z</dcterms:created>
  <dcterms:modified xsi:type="dcterms:W3CDTF">2026-10-23T05:10:27Z</dcterms:modified>
</cp:coreProperties>
</file>