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er" sheetId="1" state="visible" r:id="rId3"/>
    <sheet name="Data_Aktivitas" sheetId="2" state="visible" r:id="rId4"/>
    <sheet name="Stok_Gambut" sheetId="3" state="visible" r:id="rId5"/>
    <sheet name="Baseline_REDD" sheetId="4" state="visible" r:id="rId6"/>
    <sheet name="Sensitivitas" sheetId="5" state="visible" r:id="rId7"/>
    <sheet name="Daftar_Temua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79,67 tC/ha = nilai cadangan karbon HRS di sheet "Tutupan lahan" file asal. Dua angka stok hutan di file asal tidak konsisten.</t>
        </r>
      </text>
    </comment>
  </commentList>
</comments>
</file>

<file path=xl/sharedStrings.xml><?xml version="1.0" encoding="utf-8"?>
<sst xmlns="http://schemas.openxmlformats.org/spreadsheetml/2006/main" count="289" uniqueCount="248">
  <si>
    <t xml:space="preserve">Parameter &amp; asumsi — model koreksi karbon gambut Mempawah</t>
  </si>
  <si>
    <t xml:space="preserve">Legenda: teks biru = input (boleh diubah) · hitam = rumus · hijau = tautan antar-sheet · isian kuning = asumsi kunci yang wajib dijustifikasi di PDD.</t>
  </si>
  <si>
    <t xml:space="preserve">Parameter</t>
  </si>
  <si>
    <t xml:space="preserve">Nilai</t>
  </si>
  <si>
    <t xml:space="preserve">Satuan</t>
  </si>
  <si>
    <t xml:space="preserve">Sumber / catatan</t>
  </si>
  <si>
    <t xml:space="preserve">Biomassa hutan rawa sekunder</t>
  </si>
  <si>
    <t xml:space="preserve">AGB hutan rawa sekunder</t>
  </si>
  <si>
    <t xml:space="preserve">t BK/ha</t>
  </si>
  <si>
    <t xml:space="preserve">File asal, Tuplah (2)!A50. Verifikasi dengan data plot (SNI 7724:2019).</t>
  </si>
  <si>
    <t xml:space="preserve">BGB hutan rawa sekunder</t>
  </si>
  <si>
    <t xml:space="preserve">File asal, Tuplah (2)!B50 (rasio akar:tajuk 0,29).</t>
  </si>
  <si>
    <t xml:space="preserve">Fraksi karbon biomassa</t>
  </si>
  <si>
    <t xml:space="preserve">-</t>
  </si>
  <si>
    <t xml:space="preserve">IPCC 2006 Vol.4 Tabel 4.3.</t>
  </si>
  <si>
    <t xml:space="preserve">Stok C biomassa Lahan Terbuka</t>
  </si>
  <si>
    <t xml:space="preserve">tC/ha</t>
  </si>
  <si>
    <t xml:space="preserve">File asal, Tutupan lahan!E13.</t>
  </si>
  <si>
    <t xml:space="preserve">Stok C biomassa Perkebunan</t>
  </si>
  <si>
    <t xml:space="preserve">File asal, Tutupan lahan!E12 (rerata jangka panjang; konservatif untuk baseline).</t>
  </si>
  <si>
    <t xml:space="preserve">Stok C biomassa Semak Belukar</t>
  </si>
  <si>
    <t xml:space="preserve">File asal, Tutupan lahan!E15.</t>
  </si>
  <si>
    <t xml:space="preserve">Faktor emisi oksidasi gambut (CO2 on-site)</t>
  </si>
  <si>
    <t xml:space="preserve">FE hutan sekunder terdrainase</t>
  </si>
  <si>
    <t xml:space="preserve">tCO2/ha/thn</t>
  </si>
  <si>
    <t xml:space="preserve">IPCC 2013 Wetlands Suppl. Tabel 2.1: 5,3 tC/ha/thn. Asumsi: hutan tersisa sudah terdrainase (konservatif).</t>
  </si>
  <si>
    <t xml:space="preserve">FE lahan terbuka</t>
  </si>
  <si>
    <t xml:space="preserve">IPCC 2013 Tabel 2.1, grassland terdrainase 9,6 tC/ha/thn.</t>
  </si>
  <si>
    <t xml:space="preserve">FE perkebunan (sawit)</t>
  </si>
  <si>
    <t xml:space="preserve">IPCC 2013 Tabel 2.1, oil palm 11 tC/ha/thn.</t>
  </si>
  <si>
    <t xml:space="preserve">FE semak belukar</t>
  </si>
  <si>
    <t xml:space="preserve">IPCC 2013 Tabel 2.1, cleared forest/shrub terdrainase 5,3 tC/ha/thn.</t>
  </si>
  <si>
    <t xml:space="preserve">Akuntansi &amp; pengurangan</t>
  </si>
  <si>
    <t xml:space="preserve">Rasio CO2/C</t>
  </si>
  <si>
    <t xml:space="preserve">Berat molekul.</t>
  </si>
  <si>
    <t xml:space="preserve">Periode kredit</t>
  </si>
  <si>
    <t xml:space="preserve">tahun</t>
  </si>
  <si>
    <t xml:space="preserve">Asumsi.</t>
  </si>
  <si>
    <t xml:space="preserve">Skenario laju deforestasi (1 = bruto 2016–2026, 2 = neto 2021–2026)</t>
  </si>
  <si>
    <t xml:space="preserve">pilihan</t>
  </si>
  <si>
    <t xml:space="preserve">Default 1 (konservatif). Untuk VM0048, laju wajib diganti data aktivitas yurisdiksi dari Verra.</t>
  </si>
  <si>
    <t xml:space="preserve">Efektivitas proyek menekan deforestasi</t>
  </si>
  <si>
    <t xml:space="preserve">fraksi</t>
  </si>
  <si>
    <t xml:space="preserve">Diambil dari parameter "Additional" file asal (43%). Ini BUKAN uji additionality; wajib dijustifikasi.</t>
  </si>
  <si>
    <t xml:space="preserve">Potongan leakage</t>
  </si>
  <si>
    <t xml:space="preserve">Asumsi indikatif; ganti dengan hasil modul leakage metodologi terpilih.</t>
  </si>
  <si>
    <t xml:space="preserve">Buffer non-permanen</t>
  </si>
  <si>
    <t xml:space="preserve">Asumsi indikatif; hitung dengan VCS AFOLU Non-Permanence Risk Tool (gambut + risiko kebakaran → cenderung tinggi).</t>
  </si>
  <si>
    <t xml:space="preserve">Potongan ketidakpastian</t>
  </si>
  <si>
    <t xml:space="preserve">0 jika CI 90% ≤ 10–15% dari rerata; jika lebih, terapkan potongan sesuai metodologi.</t>
  </si>
  <si>
    <t xml:space="preserve">Porsi manfaat LPHD</t>
  </si>
  <si>
    <t xml:space="preserve">File asal, Tuplah (2)!T30 dan H57. Konfirmasi dengan perjanjian benefit sharing.</t>
  </si>
  <si>
    <t xml:space="preserve">Kurs</t>
  </si>
  <si>
    <t xml:space="preserve">Rp/USD</t>
  </si>
  <si>
    <t xml:space="preserve">Diseragamkan (file asal memakai 16.000 dan 18.000). Perbarui ke kurs saat analisis.</t>
  </si>
  <si>
    <t xml:space="preserve">Harga skenario rendah</t>
  </si>
  <si>
    <t xml:space="preserve">USD/tCO2e</t>
  </si>
  <si>
    <t xml:space="preserve">Harga skenario menengah</t>
  </si>
  <si>
    <t xml:space="preserve">Harga skenario tinggi</t>
  </si>
  <si>
    <t xml:space="preserve">Asumsi (optimistis untuk REDD+ tanpa label premium).</t>
  </si>
  <si>
    <t xml:space="preserve">Data aktivitas — tutupan lahan &amp; perubahan (sumber: sheet "2021" dan "Tuplah (2)" file asal)</t>
  </si>
  <si>
    <t xml:space="preserve">Kelas tutupan</t>
  </si>
  <si>
    <t xml:space="preserve">2016 (ha)</t>
  </si>
  <si>
    <t xml:space="preserve">2021 (ha)</t>
  </si>
  <si>
    <t xml:space="preserve">2026 (ha)</t>
  </si>
  <si>
    <t xml:space="preserve">Δ 2016–2026 (ha)</t>
  </si>
  <si>
    <t xml:space="preserve">Δ 2021–2026 (ha)</t>
  </si>
  <si>
    <t xml:space="preserve">Hutan Sekunder</t>
  </si>
  <si>
    <t xml:space="preserve">Semak Belukar</t>
  </si>
  <si>
    <t xml:space="preserve">Perkebunan</t>
  </si>
  <si>
    <t xml:space="preserve">Pertanian</t>
  </si>
  <si>
    <t xml:space="preserve">Lahan Terbuka</t>
  </si>
  <si>
    <t xml:space="preserve">Sungai</t>
  </si>
  <si>
    <t xml:space="preserve">Total</t>
  </si>
  <si>
    <t xml:space="preserve">Cek: total tiap tahun harus ≈ 2.468,5 ha</t>
  </si>
  <si>
    <t xml:space="preserve">Matriks kehilangan hutan 2016–2026</t>
  </si>
  <si>
    <t xml:space="preserve">Luas (ha)</t>
  </si>
  <si>
    <t xml:space="preserve">Stok C pasca (tC/ha)</t>
  </si>
  <si>
    <t xml:space="preserve">FE gambut pasca (tCO2/ha/thn)</t>
  </si>
  <si>
    <t xml:space="preserve">Bobot</t>
  </si>
  <si>
    <t xml:space="preserve">Hutan Sekunder → Lahan Terbuka</t>
  </si>
  <si>
    <t xml:space="preserve">Hutan Sekunder → Perkebunan</t>
  </si>
  <si>
    <t xml:space="preserve">Hutan Sekunder → Semak Belukar</t>
  </si>
  <si>
    <t xml:space="preserve">Total kehilangan bruto</t>
  </si>
  <si>
    <t xml:space="preserve">Penambahan: Semak Belukar → Hutan Sekunder</t>
  </si>
  <si>
    <t xml:space="preserve">Neto (bruto − penambahan); cek ≈ −Δ hutan 2016–2026</t>
  </si>
  <si>
    <t xml:space="preserve">Laju deforestasi</t>
  </si>
  <si>
    <t xml:space="preserve">Catatan</t>
  </si>
  <si>
    <t xml:space="preserve">Laju bruto 2016–2026</t>
  </si>
  <si>
    <t xml:space="preserve">ha/thn</t>
  </si>
  <si>
    <t xml:space="preserve">Kehilangan bruto / 10 thn</t>
  </si>
  <si>
    <t xml:space="preserve">Laju bruto 2016–2026 (% hutan 2016)</t>
  </si>
  <si>
    <t xml:space="preserve">%/thn</t>
  </si>
  <si>
    <t xml:space="preserve">Laju neto 2021–2026</t>
  </si>
  <si>
    <t xml:space="preserve">Kehilangan hutan neto / 5 thn (matriks bruto 2021–2026 belum tersedia)</t>
  </si>
  <si>
    <t xml:space="preserve">Laju neto 2021–2026 (% hutan 2021)</t>
  </si>
  <si>
    <t xml:space="preserve">Laju dipakai file asal</t>
  </si>
  <si>
    <t xml:space="preserve">1,16% — sumber tidak didokumentasikan; tidak cocok dengan data proyek sendiri</t>
  </si>
  <si>
    <t xml:space="preserve">Laju terpilih (ha/thn)</t>
  </si>
  <si>
    <t xml:space="preserve">Mengikuti pilihan skenario di sheet Parameter</t>
  </si>
  <si>
    <t xml:space="preserve">Stok karbon gambut (seluruh kolom) per kelas kedalaman — sumber luas: Export_Output (overlay PL2022 × peta kedalaman)</t>
  </si>
  <si>
    <t xml:space="preserve">Kelas kedalaman</t>
  </si>
  <si>
    <t xml:space="preserve">Tebal tengah (m)</t>
  </si>
  <si>
    <t xml:space="preserve">BD (t/m³)</t>
  </si>
  <si>
    <t xml:space="preserve">Fraksi C</t>
  </si>
  <si>
    <t xml:space="preserve">Kerapatan C (tC/ha)</t>
  </si>
  <si>
    <t xml:space="preserve">Stok C (tC)</t>
  </si>
  <si>
    <t xml:space="preserve">Stok CO2e (tCO2e)</t>
  </si>
  <si>
    <t xml:space="preserve">Bergambut &lt; 50 cm</t>
  </si>
  <si>
    <t xml:space="preserve">Gambut 100–200 cm</t>
  </si>
  <si>
    <t xml:space="preserve">Gambut 200–300 cm</t>
  </si>
  <si>
    <t xml:space="preserve">← rerata tertimbang luas (bukan SUM/3 seperti file asal)</t>
  </si>
  <si>
    <t xml:space="preserve">Catatan: stok ini adalah cadangan, BUKAN emisi. Deforestasi tidak melepas seluruh kolom gambut sekaligus; emisi gambut dihitung per ha per tahun lewat FE drainase (sheet Baseline_REDD).</t>
  </si>
  <si>
    <t xml:space="preserve">BD 0,11/0,08/0,06 dan C 0,51 mengikuti rumus sheet "Gambut" file asal; tabel parameter di sheet yang sama menulis BD 0,12 — wajib diseragamkan dengan hasil uji lab sampel gambut.</t>
  </si>
  <si>
    <t xml:space="preserve">Baseline REDD+ (deforestasi tak terencana) &amp; estimasi kredit bersih — ex-ante indikatif</t>
  </si>
  <si>
    <t xml:space="preserve">Stok C biomassa hutan (tC/ha)</t>
  </si>
  <si>
    <t xml:space="preserve">Stok C pasca-deforestasi tertimbang (tC/ha)</t>
  </si>
  <si>
    <t xml:space="preserve">Faktor emisi biomassa (tCO2e/ha terdeforestasi)</t>
  </si>
  <si>
    <t xml:space="preserve">FE gambut pasca-deforestasi tertimbang (tCO2/ha/thn)</t>
  </si>
  <si>
    <t xml:space="preserve">Tambahan FE gambut akibat deforestasi (tCO2/ha/thn)</t>
  </si>
  <si>
    <t xml:space="preserve">Laju deforestasi terpilih (ha/thn)</t>
  </si>
  <si>
    <t xml:space="preserve">Faktor pengali kredit bersih</t>
  </si>
  <si>
    <t xml:space="preserve">Rumus: efektivitas × (1−leakage) × (1−buffer) × (1−ketidakpastian)</t>
  </si>
  <si>
    <t xml:space="preserve">Tahun</t>
  </si>
  <si>
    <t xml:space="preserve">Deforestasi baseline (ha)</t>
  </si>
  <si>
    <t xml:space="preserve">Kumulatif (ha)</t>
  </si>
  <si>
    <t xml:space="preserve">Emisi biomassa (tCO2e)</t>
  </si>
  <si>
    <t xml:space="preserve">Emisi gambut tambahan (tCO2e)</t>
  </si>
  <si>
    <t xml:space="preserve">Emisi baseline total (tCO2e)</t>
  </si>
  <si>
    <t xml:space="preserve">Kredit bersih (tCO2e)</t>
  </si>
  <si>
    <t xml:space="preserve">Porsi LPHD (tCO2e)</t>
  </si>
  <si>
    <t xml:space="preserve">Nilai LPHD @harga rendah (Rp)</t>
  </si>
  <si>
    <t xml:space="preserve">Nilai LPHD @harga menengah (Rp)</t>
  </si>
  <si>
    <t xml:space="preserve">Nilai LPHD @harga tinggi (Rp)</t>
  </si>
  <si>
    <t xml:space="preserve">Total 10 thn</t>
  </si>
  <si>
    <t xml:space="preserve">Rerata per tahun</t>
  </si>
  <si>
    <t xml:space="preserve">Pembanding dengan file asal (kredit bersih tCO2e/thn)</t>
  </si>
  <si>
    <t xml:space="preserve">Sumber</t>
  </si>
  <si>
    <t xml:space="preserve">Kredit bersih (tCO2e/thn)</t>
  </si>
  <si>
    <t xml:space="preserve">Rasio terhadap model koreksi</t>
  </si>
  <si>
    <t xml:space="preserve">File asal — Tuplah!R57 ("Net VCU", ×0,35)</t>
  </si>
  <si>
    <t xml:space="preserve">File asal — Tuplah (2)!S46 ("Net VCU", ×0,65)</t>
  </si>
  <si>
    <t xml:space="preserve">File asal — Tuplah (2)!S36 (blok dengan error rujukan P37)</t>
  </si>
  <si>
    <t xml:space="preserve">File asal — Tuplah (2)!G57 (blok IKHB)</t>
  </si>
  <si>
    <t xml:space="preserve">Model koreksi (rerata 10 thn)</t>
  </si>
  <si>
    <t xml:space="preserve">Catatan: emisi kebakaran gambut, DOC, CH4/N2O tidak dimasukkan (konservatif untuk baseline). Hasil ini indikatif; untuk registrasi Verra VM0048, laju &amp; lokasi deforestasi baseline ditentukan dari data aktivitas yurisdiksi dan peta risiko yang disediakan Verra, bukan dari laju proyek sendiri.</t>
  </si>
  <si>
    <t xml:space="preserve">Sensitivitas kredit bersih rerata (tCO2e/thn) terhadap laju deforestasi dan stok biomassa</t>
  </si>
  <si>
    <t xml:space="preserve">Stok C hutan (tC/ha) ↓  /  Laju (ha/thn) →</t>
  </si>
  <si>
    <t xml:space="preserve">Baris 4 = stok dari AGB+BGB plot (file asal Tuplah (2)); baris 5 = stok dari tabel "Tutupan lahan". Kolom B = laju bruto 2016–2026; kolom C = laju neto 2021–2026.</t>
  </si>
  <si>
    <t xml:space="preserve">Daftar temuan pemeriksaan file Export_Output_Gambut_MEMPAWAH_1.xlsx</t>
  </si>
  <si>
    <t xml:space="preserve">No</t>
  </si>
  <si>
    <t xml:space="preserve">Sheet!Sel</t>
  </si>
  <si>
    <t xml:space="preserve">Tingkat</t>
  </si>
  <si>
    <t xml:space="preserve">Temuan</t>
  </si>
  <si>
    <t xml:space="preserve">Dampak</t>
  </si>
  <si>
    <t xml:space="preserve">Perbaikan</t>
  </si>
  <si>
    <t xml:space="preserve">Tuplah!P53, Tuplah (2)!Q41</t>
  </si>
  <si>
    <t xml:space="preserve">Kritis</t>
  </si>
  <si>
    <t xml:space="preserve">Emisi deforestasi = total stok CO2e gambut seluruh area (termasuk non-hutan &amp; seluruh kolom gambut 1,5 m) × 1,16%.</t>
  </si>
  <si>
    <t xml:space="preserve">Mengasumsikan seluruh karbon kolom gambut lepas saat deforestasi; biomassa pohon tidak dihitung sama sekali.</t>
  </si>
  <si>
    <t xml:space="preserve">Emisi = luas deforestasi × ΔC biomassa + luas kumulatif terdeforestasi × ΔFE gambut per tahun (sheet Baseline_REDD).</t>
  </si>
  <si>
    <t xml:space="preserve">Tuplah!P52, Tuplah (2)!Q30</t>
  </si>
  <si>
    <t xml:space="preserve">Laju deforestasi 1,16%/thn tanpa sumber; data proyek sendiri: bruto 0,57%/thn (2016–2026) atau neto 1,78%/thn (2021–2026).</t>
  </si>
  <si>
    <t xml:space="preserve">Baseline tidak dapat diverifikasi VVB.</t>
  </si>
  <si>
    <t xml:space="preserve">Gunakan data aktivitas proyek (atau data yurisdiksi Verra untuk VM0048) dan dokumentasikan.</t>
  </si>
  <si>
    <t xml:space="preserve">Tuplah (2)!Q31</t>
  </si>
  <si>
    <t xml:space="preserve">Q31 = P37 × 1,16% di mana P37 = tCO2e per ha (rerata), bukan total.</t>
  </si>
  <si>
    <t xml:space="preserve">Hasil 22,7 tCO2e/thn → nilai Rp 0,9 juta; salah ~5 orde.</t>
  </si>
  <si>
    <t xml:space="preserve">Rujuk total (P36) — atau ganti dengan metode di sheet Baseline_REDD.</t>
  </si>
  <si>
    <t xml:space="preserve">Tuplah!Q52, Tuplah (2)!R30, F57</t>
  </si>
  <si>
    <t xml:space="preserve">Faktor "Additional" 43% / 50% dikalikan ke emisi.</t>
  </si>
  <si>
    <t xml:space="preserve">Additionality adalah uji lulus/gagal, bukan faktor pengali; angka tidak berdasar.</t>
  </si>
  <si>
    <t xml:space="preserve">Ganti dengan "efektivitas proyek" eksplisit + uji additionality (VT0008) terpisah.</t>
  </si>
  <si>
    <t xml:space="preserve">Tuplah!R52 vs Tuplah (2)!S30</t>
  </si>
  <si>
    <t xml:space="preserve">Tinggi</t>
  </si>
  <si>
    <t xml:space="preserve">"Net VCU" = 35% dari emisi di satu blok, (1−35%) di blok lain.</t>
  </si>
  <si>
    <t xml:space="preserve">Hasil berbeda hampir 2×.</t>
  </si>
  <si>
    <t xml:space="preserve">Pisahkan potongan leakage, buffer, ketidakpastian dengan nilai masing-masing.</t>
  </si>
  <si>
    <t xml:space="preserve">Tuplah (2)!B57:C60</t>
  </si>
  <si>
    <t xml:space="preserve">AGB diketik 22291 (seharusnya 222,91), LITTER 66876, SOIL 196568 — salah faktor 100; BGB memakai 64,64 (benar).</t>
  </si>
  <si>
    <t xml:space="preserve">Stok biomassa/tanah membengkak 100×; tidak konsisten antar baris.</t>
  </si>
  <si>
    <t xml:space="preserve">Perbaiki angka desimal; satukan satuan t BK/ha.</t>
  </si>
  <si>
    <t xml:space="preserve">Tuplah (2)!C61:D64</t>
  </si>
  <si>
    <t xml:space="preserve">Biomassa per-ha dijumlah dengan stok gambut total area (tC); lalu ×50% dan ×35 tanpa dasar.</t>
  </si>
  <si>
    <t xml:space="preserve">Penjumlahan satuan berbeda (per-ha + total).</t>
  </si>
  <si>
    <t xml:space="preserve">Kalikan stok per-ha dengan luas; hapus faktor 50% dan ×35.</t>
  </si>
  <si>
    <t xml:space="preserve">Tuplah!D55, D63; Tuplah (2)!D33, D43</t>
  </si>
  <si>
    <t xml:space="preserve">Kolom Stok Karbon memakai C (emisi) bukan B (luas).</t>
  </si>
  <si>
    <t xml:space="preserve">Stok perkebunan 14,8–23,4 juta tC (mustahil).</t>
  </si>
  <si>
    <t xml:space="preserve">Ganti rujukan ke kolom luas.</t>
  </si>
  <si>
    <t xml:space="preserve">Tuplah (2)!D34</t>
  </si>
  <si>
    <t xml:space="preserve">Fraksi C diketik 45 (bukan 0,45).</t>
  </si>
  <si>
    <t xml:space="preserve">Stok semak belukar 27,4 juta tC (×100).</t>
  </si>
  <si>
    <t xml:space="preserve">Ubah ke 0,45 — atau lebih baik 0,51–0,55 untuk gambut.</t>
  </si>
  <si>
    <t xml:space="preserve">Tuplah (2)!D31:D44, E31:E44</t>
  </si>
  <si>
    <t xml:space="preserve">Tebal (1 m / 0,25 m / 1,5 m), BD (0,08 / 0,1) dan fraksi C (0,45 / 0,2) berbeda antar blok; fraksi C 0,2 tidak realistis untuk gambut.</t>
  </si>
  <si>
    <t xml:space="preserve">Stok gambut berubah 0,8–34,5 juta tC tergantung blok.</t>
  </si>
  <si>
    <t xml:space="preserve">Satu tabel parameter per kelas kedalaman (sheet Stok_Gambut).</t>
  </si>
  <si>
    <t xml:space="preserve">Tuplah!B16:D19 vs Gambut!F3:F5</t>
  </si>
  <si>
    <t xml:space="preserve">Sedang</t>
  </si>
  <si>
    <t xml:space="preserve">BD &amp; fraksi C dipilih per tutupan lahan (0,10–0,13; 0,53–0,55) di Tuplah, tetapi per kedalaman (0,06–0,11; 0,51) di Gambut. Tabel Gambut!O9:O11 menulis BD 0,12.</t>
  </si>
  <si>
    <t xml:space="preserve">Stok gambut 2,09 juta tC vs 1,36 juta tC.</t>
  </si>
  <si>
    <t xml:space="preserve">Gunakan hasil lab per kedalaman; satu sumber parameter.</t>
  </si>
  <si>
    <t xml:space="preserve">Tuplah!D53:G56</t>
  </si>
  <si>
    <t xml:space="preserve">Tebal 1,5 m diterapkan ke seluruh area, padahal 454 ha &lt; 50 cm dan 429 ha 200–300 cm.</t>
  </si>
  <si>
    <t xml:space="preserve">Stok gambut tidak tertimbang kedalaman.</t>
  </si>
  <si>
    <t xml:space="preserve">Gunakan matriks tutupan × kedalaman (Export_Output).</t>
  </si>
  <si>
    <t xml:space="preserve">Gambut!F6:H7</t>
  </si>
  <si>
    <t xml:space="preserve">Kerapatan C (tC/ha) dijumlah antar kelas, lalu total stok dibagi 3.</t>
  </si>
  <si>
    <t xml:space="preserve">Angka "rerata" tidak bermakna.</t>
  </si>
  <si>
    <t xml:space="preserve">Rerata tertimbang luas = Stok total / Luas total.</t>
  </si>
  <si>
    <t xml:space="preserve">Tuplah!E24:E27, D49:E49</t>
  </si>
  <si>
    <t xml:space="preserve">Rendah</t>
  </si>
  <si>
    <t xml:space="preserve">Kerapatan dijumlahkan antar kedalaman; stok dibagi 4 tanpa keterangan.</t>
  </si>
  <si>
    <t xml:space="preserve">Membingungkan pembaca/VVB.</t>
  </si>
  <si>
    <t xml:space="preserve">Hapus atau beri penjelasan.</t>
  </si>
  <si>
    <t xml:space="preserve">Tuplah!C61:C64</t>
  </si>
  <si>
    <t xml:space="preserve">Kolom "Emisi" memakai 98,84 / 2,5 / 63 / 30 — ini cadangan karbon biomassa (tC/ha), bukan FE (tCO2e/ha/thn).</t>
  </si>
  <si>
    <t xml:space="preserve">Salah satuan.</t>
  </si>
  <si>
    <t xml:space="preserve">Pisahkan tabel stok biomassa dan tabel FE gambut.</t>
  </si>
  <si>
    <t xml:space="preserve">Tutupan lahan!E14 vs Tuplah!C61</t>
  </si>
  <si>
    <t xml:space="preserve">Stok C hutan rawa sekunder 79,67 tC/ha vs 98,84 tC/ha vs (222,91+64,64)×0,47 = 135,2 tC/ha.</t>
  </si>
  <si>
    <t xml:space="preserve">Tiga nilai berbeda untuk satu kelas.</t>
  </si>
  <si>
    <t xml:space="preserve">Tetapkan dari plot lapangan (SNI 7724:2019) dengan CI 90%.</t>
  </si>
  <si>
    <t xml:space="preserve">Tuplah!K53, L53, M41 dst.</t>
  </si>
  <si>
    <t xml:space="preserve">"40.91" dan "1.411.16" tersimpan sebagai teks.</t>
  </si>
  <si>
    <t xml:space="preserve">Tidak bisa dipakai rumus; rawan salah baca.</t>
  </si>
  <si>
    <t xml:space="preserve">Simpan sebagai angka.</t>
  </si>
  <si>
    <t xml:space="preserve">Tuplah!T53 vs Tuplah (2)!U31</t>
  </si>
  <si>
    <t xml:space="preserve">Kurs Rp 18.000 di satu blok, Rp 16.000 di blok lain; nilai tidak diberi keterangan per tahun.</t>
  </si>
  <si>
    <t xml:space="preserve">Proyeksi pendapatan tidak konsisten.</t>
  </si>
  <si>
    <t xml:space="preserve">Satu sel kurs; label "per tahun".</t>
  </si>
  <si>
    <t xml:space="preserve">Tuplah (sheet) vs Tuplah (2)</t>
  </si>
  <si>
    <t xml:space="preserve">Blok emisi baris 8–44 memakai luas PL2022 KLHK (skala 1:250.000), blok baris 53+ memakai interpretasi 2026 (Perkebunan 10 ha vs 359 ha).</t>
  </si>
  <si>
    <t xml:space="preserve">Dua data aktivitas berbeda dalam satu perhitungan.</t>
  </si>
  <si>
    <t xml:space="preserve">Pakai satu peta tutupan resolusi tinggi + uji akurasi (≥ 85–90%).</t>
  </si>
  <si>
    <t xml:space="preserve">Tuplah (2)!C67:C68</t>
  </si>
  <si>
    <t xml:space="preserve">Luas REDD memasukkan Sungai 31,92 ha; luas ARR memasukkan 82,87 ha hutan yang hilang 2016–2026 dan 359 ha perkebunan aktif.</t>
  </si>
  <si>
    <t xml:space="preserve">Sungai bukan hutan; lahan yang dibuka &lt; 10 thn sebelum proyek tidak eligible ARR di VCS; konversi kebun aktif memicu leakage.</t>
  </si>
  <si>
    <t xml:space="preserve">Keluarkan sungai; uji kelayakan ARR per poligon; kebun → paludikultur/agroforestri.</t>
  </si>
  <si>
    <t xml:space="preserve">Tuplah!H10, Tuplah (2)!C31</t>
  </si>
  <si>
    <t xml:space="preserve">FE 19 tCO2/ha/thn dipakai untuk hutan rawa sekunder (mengasumsikan sudah terdrainase); CH4, N2O, DOC dan kebakaran tidak dihitung.</t>
  </si>
  <si>
    <t xml:space="preserve">Baseline &amp; skenario proyek tidak lengkap.</t>
  </si>
  <si>
    <t xml:space="preserve">Petakan kanal/kedalaman muka air; tambahkan kebakaran sebagai sumber emisi baseline (dengan data hotspot/area terbakar).</t>
  </si>
  <si>
    <t xml:space="preserve">Data 2016→2021</t>
  </si>
  <si>
    <t xml:space="preserve">Hutan sekunder naik +97 ha (2016→2021) lalu turun −138 ha (2021→2026).</t>
  </si>
  <si>
    <t xml:space="preserve">Melemahkan argumen ancaman jika tidak dijelaskan; indikasi beda interpretasi citra.</t>
  </si>
  <si>
    <t xml:space="preserve">Uji akurasi tiap periode; jelaskan regenerasi vs salah klasifikasi.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</si>
</sst>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"/>
    <numFmt numFmtId="166" formatCode="0"/>
    <numFmt numFmtId="167" formatCode="0.0%"/>
    <numFmt numFmtId="168" formatCode="#,##0.00;\(#,##0.00\);\-"/>
    <numFmt numFmtId="169" formatCode="#,##0.000"/>
    <numFmt numFmtId="170" formatCode="0.00"/>
    <numFmt numFmtId="171" formatCode="#,##0;\(#,##0\);\-"/>
    <numFmt numFmtId="172" formatCode="0.0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4"/>
    <col collapsed="false" customWidth="true" hidden="false" outlineLevel="0" max="4" min="4" style="0" width="9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</row>
    <row r="6" customFormat="false" ht="15" hidden="false" customHeight="false" outlineLevel="0" collapsed="false">
      <c r="A6" s="5" t="s">
        <v>7</v>
      </c>
      <c r="B6" s="6" t="n">
        <v>222.91</v>
      </c>
      <c r="C6" s="5" t="s">
        <v>8</v>
      </c>
      <c r="D6" s="5" t="s">
        <v>9</v>
      </c>
    </row>
    <row r="7" customFormat="false" ht="15" hidden="false" customHeight="false" outlineLevel="0" collapsed="false">
      <c r="A7" s="5" t="s">
        <v>10</v>
      </c>
      <c r="B7" s="7" t="n">
        <v>64.64</v>
      </c>
      <c r="C7" s="5" t="s">
        <v>8</v>
      </c>
      <c r="D7" s="5" t="s">
        <v>11</v>
      </c>
    </row>
    <row r="8" customFormat="false" ht="15" hidden="false" customHeight="false" outlineLevel="0" collapsed="false">
      <c r="A8" s="5" t="s">
        <v>12</v>
      </c>
      <c r="B8" s="7" t="n">
        <v>0.47</v>
      </c>
      <c r="C8" s="5" t="s">
        <v>13</v>
      </c>
      <c r="D8" s="5" t="s">
        <v>14</v>
      </c>
    </row>
    <row r="9" customFormat="false" ht="15" hidden="false" customHeight="false" outlineLevel="0" collapsed="false">
      <c r="A9" s="5" t="s">
        <v>15</v>
      </c>
      <c r="B9" s="7" t="n">
        <v>2.5</v>
      </c>
      <c r="C9" s="5" t="s">
        <v>16</v>
      </c>
      <c r="D9" s="5" t="s">
        <v>17</v>
      </c>
    </row>
    <row r="10" customFormat="false" ht="15" hidden="false" customHeight="false" outlineLevel="0" collapsed="false">
      <c r="A10" s="5" t="s">
        <v>18</v>
      </c>
      <c r="B10" s="7" t="n">
        <v>63</v>
      </c>
      <c r="C10" s="5" t="s">
        <v>16</v>
      </c>
      <c r="D10" s="5" t="s">
        <v>19</v>
      </c>
    </row>
    <row r="11" customFormat="false" ht="15" hidden="false" customHeight="false" outlineLevel="0" collapsed="false">
      <c r="A11" s="5" t="s">
        <v>20</v>
      </c>
      <c r="B11" s="7" t="n">
        <v>30</v>
      </c>
      <c r="C11" s="5" t="s">
        <v>16</v>
      </c>
      <c r="D11" s="5" t="s">
        <v>21</v>
      </c>
    </row>
    <row r="12" customFormat="false" ht="15" hidden="false" customHeight="false" outlineLevel="0" collapsed="false">
      <c r="A12" s="4" t="s">
        <v>22</v>
      </c>
    </row>
    <row r="13" customFormat="false" ht="15" hidden="false" customHeight="false" outlineLevel="0" collapsed="false">
      <c r="A13" s="5" t="s">
        <v>23</v>
      </c>
      <c r="B13" s="7" t="n">
        <v>19</v>
      </c>
      <c r="C13" s="5" t="s">
        <v>24</v>
      </c>
      <c r="D13" s="5" t="s">
        <v>25</v>
      </c>
    </row>
    <row r="14" customFormat="false" ht="15" hidden="false" customHeight="false" outlineLevel="0" collapsed="false">
      <c r="A14" s="5" t="s">
        <v>26</v>
      </c>
      <c r="B14" s="7" t="n">
        <v>35</v>
      </c>
      <c r="C14" s="5" t="s">
        <v>24</v>
      </c>
      <c r="D14" s="5" t="s">
        <v>27</v>
      </c>
    </row>
    <row r="15" customFormat="false" ht="15" hidden="false" customHeight="false" outlineLevel="0" collapsed="false">
      <c r="A15" s="5" t="s">
        <v>28</v>
      </c>
      <c r="B15" s="7" t="n">
        <v>40</v>
      </c>
      <c r="C15" s="5" t="s">
        <v>24</v>
      </c>
      <c r="D15" s="5" t="s">
        <v>29</v>
      </c>
    </row>
    <row r="16" customFormat="false" ht="15" hidden="false" customHeight="false" outlineLevel="0" collapsed="false">
      <c r="A16" s="5" t="s">
        <v>30</v>
      </c>
      <c r="B16" s="7" t="n">
        <v>19</v>
      </c>
      <c r="C16" s="5" t="s">
        <v>24</v>
      </c>
      <c r="D16" s="5" t="s">
        <v>31</v>
      </c>
    </row>
    <row r="17" customFormat="false" ht="15" hidden="false" customHeight="false" outlineLevel="0" collapsed="false">
      <c r="A17" s="4" t="s">
        <v>32</v>
      </c>
    </row>
    <row r="18" customFormat="false" ht="15" hidden="false" customHeight="false" outlineLevel="0" collapsed="false">
      <c r="A18" s="5" t="s">
        <v>33</v>
      </c>
      <c r="B18" s="8" t="n">
        <f aca="false">44/12</f>
        <v>3.66666666666667</v>
      </c>
      <c r="C18" s="5" t="s">
        <v>13</v>
      </c>
      <c r="D18" s="5" t="s">
        <v>34</v>
      </c>
    </row>
    <row r="19" customFormat="false" ht="15" hidden="false" customHeight="false" outlineLevel="0" collapsed="false">
      <c r="A19" s="5" t="s">
        <v>35</v>
      </c>
      <c r="B19" s="7" t="n">
        <v>10</v>
      </c>
      <c r="C19" s="5" t="s">
        <v>36</v>
      </c>
      <c r="D19" s="5" t="s">
        <v>37</v>
      </c>
    </row>
    <row r="20" customFormat="false" ht="15" hidden="false" customHeight="false" outlineLevel="0" collapsed="false">
      <c r="A20" s="5" t="s">
        <v>38</v>
      </c>
      <c r="B20" s="9" t="n">
        <v>1</v>
      </c>
      <c r="C20" s="5" t="s">
        <v>39</v>
      </c>
      <c r="D20" s="5" t="s">
        <v>40</v>
      </c>
    </row>
    <row r="21" customFormat="false" ht="15" hidden="false" customHeight="false" outlineLevel="0" collapsed="false">
      <c r="A21" s="5" t="s">
        <v>41</v>
      </c>
      <c r="B21" s="10" t="n">
        <v>0.43</v>
      </c>
      <c r="C21" s="5" t="s">
        <v>42</v>
      </c>
      <c r="D21" s="5" t="s">
        <v>43</v>
      </c>
    </row>
    <row r="22" customFormat="false" ht="15" hidden="false" customHeight="false" outlineLevel="0" collapsed="false">
      <c r="A22" s="5" t="s">
        <v>44</v>
      </c>
      <c r="B22" s="10" t="n">
        <v>0.15</v>
      </c>
      <c r="C22" s="5" t="s">
        <v>42</v>
      </c>
      <c r="D22" s="5" t="s">
        <v>45</v>
      </c>
    </row>
    <row r="23" customFormat="false" ht="15" hidden="false" customHeight="false" outlineLevel="0" collapsed="false">
      <c r="A23" s="5" t="s">
        <v>46</v>
      </c>
      <c r="B23" s="10" t="n">
        <v>0.2</v>
      </c>
      <c r="C23" s="5" t="s">
        <v>42</v>
      </c>
      <c r="D23" s="5" t="s">
        <v>47</v>
      </c>
    </row>
    <row r="24" customFormat="false" ht="15" hidden="false" customHeight="false" outlineLevel="0" collapsed="false">
      <c r="A24" s="5" t="s">
        <v>48</v>
      </c>
      <c r="B24" s="11" t="n">
        <v>0</v>
      </c>
      <c r="C24" s="5" t="s">
        <v>42</v>
      </c>
      <c r="D24" s="5" t="s">
        <v>49</v>
      </c>
    </row>
    <row r="25" customFormat="false" ht="15" hidden="false" customHeight="false" outlineLevel="0" collapsed="false">
      <c r="A25" s="5" t="s">
        <v>50</v>
      </c>
      <c r="B25" s="11" t="n">
        <v>0.6</v>
      </c>
      <c r="C25" s="5" t="s">
        <v>42</v>
      </c>
      <c r="D25" s="5" t="s">
        <v>51</v>
      </c>
    </row>
    <row r="26" customFormat="false" ht="15" hidden="false" customHeight="false" outlineLevel="0" collapsed="false">
      <c r="A26" s="5" t="s">
        <v>52</v>
      </c>
      <c r="B26" s="7" t="n">
        <v>16000</v>
      </c>
      <c r="C26" s="5" t="s">
        <v>53</v>
      </c>
      <c r="D26" s="5" t="s">
        <v>54</v>
      </c>
    </row>
    <row r="27" customFormat="false" ht="15" hidden="false" customHeight="false" outlineLevel="0" collapsed="false">
      <c r="A27" s="5" t="s">
        <v>55</v>
      </c>
      <c r="B27" s="7" t="n">
        <v>5</v>
      </c>
      <c r="C27" s="5" t="s">
        <v>56</v>
      </c>
      <c r="D27" s="5" t="s">
        <v>37</v>
      </c>
    </row>
    <row r="28" customFormat="false" ht="15" hidden="false" customHeight="false" outlineLevel="0" collapsed="false">
      <c r="A28" s="5" t="s">
        <v>57</v>
      </c>
      <c r="B28" s="7" t="n">
        <v>10</v>
      </c>
      <c r="C28" s="5" t="s">
        <v>56</v>
      </c>
      <c r="D28" s="5" t="s">
        <v>37</v>
      </c>
    </row>
    <row r="29" customFormat="false" ht="15" hidden="false" customHeight="false" outlineLevel="0" collapsed="false">
      <c r="A29" s="5" t="s">
        <v>58</v>
      </c>
      <c r="B29" s="7" t="n">
        <v>15</v>
      </c>
      <c r="C29" s="5" t="s">
        <v>56</v>
      </c>
      <c r="D29" s="5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6" min="5" style="0" width="16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" t="s">
        <v>60</v>
      </c>
    </row>
    <row r="3" customFormat="false" ht="26.85" hidden="false" customHeight="false" outlineLevel="0" collapsed="false">
      <c r="A3" s="3" t="s">
        <v>61</v>
      </c>
      <c r="B3" s="3" t="s">
        <v>62</v>
      </c>
      <c r="C3" s="3" t="s">
        <v>63</v>
      </c>
      <c r="D3" s="3" t="s">
        <v>64</v>
      </c>
      <c r="E3" s="3" t="s">
        <v>65</v>
      </c>
      <c r="F3" s="3" t="s">
        <v>66</v>
      </c>
    </row>
    <row r="4" customFormat="false" ht="15" hidden="false" customHeight="false" outlineLevel="0" collapsed="false">
      <c r="A4" s="5" t="s">
        <v>67</v>
      </c>
      <c r="B4" s="12" t="n">
        <v>1452.07</v>
      </c>
      <c r="C4" s="12" t="n">
        <v>1549.28</v>
      </c>
      <c r="D4" s="12" t="n">
        <v>1411.16</v>
      </c>
      <c r="E4" s="13" t="n">
        <f aca="false">D4-B4</f>
        <v>-40.9099999999999</v>
      </c>
      <c r="F4" s="13" t="n">
        <f aca="false">D4-C4</f>
        <v>-138.12</v>
      </c>
    </row>
    <row r="5" customFormat="false" ht="15" hidden="false" customHeight="false" outlineLevel="0" collapsed="false">
      <c r="A5" s="5" t="s">
        <v>68</v>
      </c>
      <c r="B5" s="12" t="n">
        <v>967.94</v>
      </c>
      <c r="C5" s="12" t="n">
        <v>857.33</v>
      </c>
      <c r="D5" s="12" t="n">
        <v>608.69</v>
      </c>
      <c r="E5" s="13" t="n">
        <f aca="false">D5-B5</f>
        <v>-359.25</v>
      </c>
      <c r="F5" s="13" t="n">
        <f aca="false">D5-C5</f>
        <v>-248.64</v>
      </c>
    </row>
    <row r="6" customFormat="false" ht="15" hidden="false" customHeight="false" outlineLevel="0" collapsed="false">
      <c r="A6" s="5" t="s">
        <v>69</v>
      </c>
      <c r="B6" s="12" t="n">
        <v>6.33</v>
      </c>
      <c r="C6" s="12" t="n">
        <v>26.04</v>
      </c>
      <c r="D6" s="12" t="n">
        <v>359.14</v>
      </c>
      <c r="E6" s="13" t="n">
        <f aca="false">D6-B6</f>
        <v>352.81</v>
      </c>
      <c r="F6" s="13" t="n">
        <f aca="false">D6-C6</f>
        <v>333.1</v>
      </c>
    </row>
    <row r="7" customFormat="false" ht="15" hidden="false" customHeight="false" outlineLevel="0" collapsed="false">
      <c r="A7" s="5" t="s">
        <v>70</v>
      </c>
      <c r="B7" s="12" t="n">
        <v>10.23</v>
      </c>
      <c r="C7" s="12" t="n">
        <v>3.91</v>
      </c>
      <c r="D7" s="12" t="n">
        <v>0</v>
      </c>
      <c r="E7" s="13" t="n">
        <f aca="false">D7-B7</f>
        <v>-10.23</v>
      </c>
      <c r="F7" s="13" t="n">
        <f aca="false">D7-C7</f>
        <v>-3.91</v>
      </c>
    </row>
    <row r="8" customFormat="false" ht="15" hidden="false" customHeight="false" outlineLevel="0" collapsed="false">
      <c r="A8" s="5" t="s">
        <v>71</v>
      </c>
      <c r="B8" s="12" t="n">
        <v>0</v>
      </c>
      <c r="C8" s="12" t="n">
        <v>0</v>
      </c>
      <c r="D8" s="12" t="n">
        <v>57.6</v>
      </c>
      <c r="E8" s="13" t="n">
        <f aca="false">D8-B8</f>
        <v>57.6</v>
      </c>
      <c r="F8" s="13" t="n">
        <f aca="false">D8-C8</f>
        <v>57.6</v>
      </c>
    </row>
    <row r="9" customFormat="false" ht="15" hidden="false" customHeight="false" outlineLevel="0" collapsed="false">
      <c r="A9" s="5" t="s">
        <v>72</v>
      </c>
      <c r="B9" s="12" t="n">
        <v>31.92</v>
      </c>
      <c r="C9" s="12" t="n">
        <v>31.92</v>
      </c>
      <c r="D9" s="12" t="n">
        <v>31.92</v>
      </c>
      <c r="E9" s="13" t="n">
        <f aca="false">D9-B9</f>
        <v>0</v>
      </c>
      <c r="F9" s="13" t="n">
        <f aca="false">D9-C9</f>
        <v>0</v>
      </c>
    </row>
    <row r="10" customFormat="false" ht="15" hidden="false" customHeight="false" outlineLevel="0" collapsed="false">
      <c r="A10" s="4" t="s">
        <v>73</v>
      </c>
      <c r="B10" s="13" t="n">
        <f aca="false">SUM(B4:B9)</f>
        <v>2468.49</v>
      </c>
      <c r="C10" s="13" t="n">
        <f aca="false">SUM(C4:C9)</f>
        <v>2468.48</v>
      </c>
      <c r="D10" s="13" t="n">
        <f aca="false">SUM(D4:D9)</f>
        <v>2468.51</v>
      </c>
      <c r="E10" s="13" t="n">
        <f aca="false">SUM(E4:E9)</f>
        <v>0.0200000000001452</v>
      </c>
      <c r="F10" s="13" t="n">
        <f aca="false">SUM(F4:F9)</f>
        <v>0.0300000000000935</v>
      </c>
      <c r="G10" s="2" t="s">
        <v>74</v>
      </c>
    </row>
    <row r="12" customFormat="false" ht="26.85" hidden="false" customHeight="false" outlineLevel="0" collapsed="false">
      <c r="A12" s="3" t="s">
        <v>75</v>
      </c>
      <c r="B12" s="3" t="s">
        <v>76</v>
      </c>
      <c r="C12" s="3" t="s">
        <v>77</v>
      </c>
      <c r="D12" s="3" t="s">
        <v>78</v>
      </c>
      <c r="E12" s="3" t="s">
        <v>79</v>
      </c>
    </row>
    <row r="13" customFormat="false" ht="15" hidden="false" customHeight="false" outlineLevel="0" collapsed="false">
      <c r="A13" s="5" t="s">
        <v>80</v>
      </c>
      <c r="B13" s="14" t="n">
        <v>55.22</v>
      </c>
      <c r="C13" s="15" t="n">
        <f aca="false">Parameter!$B$9</f>
        <v>2.5</v>
      </c>
      <c r="D13" s="15" t="n">
        <f aca="false">Parameter!$B$14</f>
        <v>35</v>
      </c>
      <c r="E13" s="16" t="n">
        <f aca="false">B13/$B$16</f>
        <v>0.666336836770402</v>
      </c>
    </row>
    <row r="14" customFormat="false" ht="15" hidden="false" customHeight="false" outlineLevel="0" collapsed="false">
      <c r="A14" s="5" t="s">
        <v>81</v>
      </c>
      <c r="B14" s="14" t="n">
        <v>7.845</v>
      </c>
      <c r="C14" s="15" t="n">
        <f aca="false">Parameter!$B$10</f>
        <v>63</v>
      </c>
      <c r="D14" s="15" t="n">
        <f aca="false">Parameter!$B$15</f>
        <v>40</v>
      </c>
      <c r="E14" s="16" t="n">
        <f aca="false">B14/$B$16</f>
        <v>0.0946652025437125</v>
      </c>
    </row>
    <row r="15" customFormat="false" ht="15" hidden="false" customHeight="false" outlineLevel="0" collapsed="false">
      <c r="A15" s="5" t="s">
        <v>82</v>
      </c>
      <c r="B15" s="14" t="n">
        <v>19.806</v>
      </c>
      <c r="C15" s="15" t="n">
        <f aca="false">Parameter!$B$11</f>
        <v>30</v>
      </c>
      <c r="D15" s="15" t="n">
        <f aca="false">Parameter!$B$16</f>
        <v>19</v>
      </c>
      <c r="E15" s="16" t="n">
        <f aca="false">B15/$B$16</f>
        <v>0.238997960685885</v>
      </c>
    </row>
    <row r="16" customFormat="false" ht="15" hidden="false" customHeight="false" outlineLevel="0" collapsed="false">
      <c r="A16" s="4" t="s">
        <v>83</v>
      </c>
      <c r="B16" s="17" t="n">
        <f aca="false">SUM(B13:B15)</f>
        <v>82.871</v>
      </c>
    </row>
    <row r="17" customFormat="false" ht="15" hidden="false" customHeight="false" outlineLevel="0" collapsed="false">
      <c r="A17" s="0" t="s">
        <v>84</v>
      </c>
      <c r="B17" s="14" t="n">
        <v>41.939</v>
      </c>
    </row>
    <row r="18" customFormat="false" ht="15" hidden="false" customHeight="false" outlineLevel="0" collapsed="false">
      <c r="A18" s="0" t="s">
        <v>85</v>
      </c>
      <c r="B18" s="17" t="n">
        <f aca="false">B16-B17</f>
        <v>40.932</v>
      </c>
      <c r="C18" s="17" t="n">
        <f aca="false">-E4</f>
        <v>40.9099999999999</v>
      </c>
    </row>
    <row r="20" customFormat="false" ht="15" hidden="false" customHeight="false" outlineLevel="0" collapsed="false">
      <c r="A20" s="3" t="s">
        <v>86</v>
      </c>
      <c r="B20" s="3" t="s">
        <v>3</v>
      </c>
      <c r="C20" s="3" t="s">
        <v>4</v>
      </c>
      <c r="D20" s="3" t="s">
        <v>87</v>
      </c>
    </row>
    <row r="21" customFormat="false" ht="15" hidden="false" customHeight="false" outlineLevel="0" collapsed="false">
      <c r="A21" s="5" t="s">
        <v>88</v>
      </c>
      <c r="B21" s="13" t="n">
        <f aca="false">B16/10</f>
        <v>8.2871</v>
      </c>
      <c r="C21" s="18" t="s">
        <v>89</v>
      </c>
      <c r="D21" s="18" t="s">
        <v>90</v>
      </c>
    </row>
    <row r="22" customFormat="false" ht="15" hidden="false" customHeight="false" outlineLevel="0" collapsed="false">
      <c r="A22" s="5" t="s">
        <v>91</v>
      </c>
      <c r="B22" s="16" t="n">
        <f aca="false">B21/B4</f>
        <v>0.00570709401061932</v>
      </c>
      <c r="C22" s="18" t="s">
        <v>92</v>
      </c>
      <c r="D22" s="18"/>
    </row>
    <row r="23" customFormat="false" ht="15" hidden="false" customHeight="false" outlineLevel="0" collapsed="false">
      <c r="A23" s="5" t="s">
        <v>93</v>
      </c>
      <c r="B23" s="13" t="n">
        <f aca="false">(C4-D4)/5</f>
        <v>27.624</v>
      </c>
      <c r="C23" s="18" t="s">
        <v>89</v>
      </c>
      <c r="D23" s="18" t="s">
        <v>94</v>
      </c>
    </row>
    <row r="24" customFormat="false" ht="15" hidden="false" customHeight="false" outlineLevel="0" collapsed="false">
      <c r="A24" s="5" t="s">
        <v>95</v>
      </c>
      <c r="B24" s="16" t="n">
        <f aca="false">B23/C4</f>
        <v>0.0178302179076732</v>
      </c>
      <c r="C24" s="18" t="s">
        <v>92</v>
      </c>
      <c r="D24" s="18"/>
    </row>
    <row r="25" customFormat="false" ht="15" hidden="false" customHeight="false" outlineLevel="0" collapsed="false">
      <c r="A25" s="5" t="s">
        <v>96</v>
      </c>
      <c r="B25" s="16" t="n">
        <f aca="false">0.0116</f>
        <v>0.0116</v>
      </c>
      <c r="C25" s="18" t="s">
        <v>92</v>
      </c>
      <c r="D25" s="18" t="s">
        <v>97</v>
      </c>
    </row>
    <row r="26" customFormat="false" ht="15" hidden="false" customHeight="false" outlineLevel="0" collapsed="false">
      <c r="A26" s="19" t="s">
        <v>98</v>
      </c>
      <c r="B26" s="20" t="n">
        <f aca="false">IF(Parameter!$B$20=1,B21,B23)</f>
        <v>8.2871</v>
      </c>
      <c r="C26" s="18" t="s">
        <v>89</v>
      </c>
      <c r="D26" s="18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50"/>
  </cols>
  <sheetData>
    <row r="1" customFormat="false" ht="16.15" hidden="false" customHeight="false" outlineLevel="0" collapsed="false">
      <c r="A1" s="1" t="s">
        <v>100</v>
      </c>
    </row>
    <row r="3" customFormat="false" ht="26.85" hidden="false" customHeight="false" outlineLevel="0" collapsed="false">
      <c r="A3" s="3" t="s">
        <v>101</v>
      </c>
      <c r="B3" s="3" t="s">
        <v>76</v>
      </c>
      <c r="C3" s="3" t="s">
        <v>102</v>
      </c>
      <c r="D3" s="3" t="s">
        <v>103</v>
      </c>
      <c r="E3" s="3" t="s">
        <v>104</v>
      </c>
      <c r="F3" s="3" t="s">
        <v>105</v>
      </c>
      <c r="G3" s="3" t="s">
        <v>106</v>
      </c>
      <c r="H3" s="3" t="s">
        <v>107</v>
      </c>
    </row>
    <row r="4" customFormat="false" ht="15" hidden="false" customHeight="false" outlineLevel="0" collapsed="false">
      <c r="A4" s="5" t="s">
        <v>108</v>
      </c>
      <c r="B4" s="12" t="n">
        <v>453.93</v>
      </c>
      <c r="C4" s="21" t="n">
        <v>0.25</v>
      </c>
      <c r="D4" s="21" t="n">
        <v>0.11</v>
      </c>
      <c r="E4" s="21" t="n">
        <v>0.51</v>
      </c>
      <c r="F4" s="13" t="n">
        <f aca="false">C4*10000*D4*E4</f>
        <v>140.25</v>
      </c>
      <c r="G4" s="22" t="n">
        <f aca="false">B4*F4</f>
        <v>63663.6825</v>
      </c>
      <c r="H4" s="23" t="n">
        <f aca="false">G4*Parameter!$B$18</f>
        <v>233433.5025</v>
      </c>
    </row>
    <row r="5" customFormat="false" ht="15" hidden="false" customHeight="false" outlineLevel="0" collapsed="false">
      <c r="A5" s="5" t="s">
        <v>109</v>
      </c>
      <c r="B5" s="12" t="n">
        <v>1586.01</v>
      </c>
      <c r="C5" s="21" t="n">
        <v>1.5</v>
      </c>
      <c r="D5" s="21" t="n">
        <v>0.08</v>
      </c>
      <c r="E5" s="21" t="n">
        <v>0.51</v>
      </c>
      <c r="F5" s="13" t="n">
        <f aca="false">C5*10000*D5*E5</f>
        <v>612</v>
      </c>
      <c r="G5" s="22" t="n">
        <f aca="false">B5*F5</f>
        <v>970638.12</v>
      </c>
      <c r="H5" s="23" t="n">
        <f aca="false">G5*Parameter!$B$18</f>
        <v>3559006.44</v>
      </c>
    </row>
    <row r="6" customFormat="false" ht="15" hidden="false" customHeight="false" outlineLevel="0" collapsed="false">
      <c r="A6" s="5" t="s">
        <v>110</v>
      </c>
      <c r="B6" s="12" t="n">
        <v>428.57</v>
      </c>
      <c r="C6" s="21" t="n">
        <v>2.5</v>
      </c>
      <c r="D6" s="21" t="n">
        <v>0.06</v>
      </c>
      <c r="E6" s="21" t="n">
        <v>0.51</v>
      </c>
      <c r="F6" s="13" t="n">
        <f aca="false">C6*10000*D6*E6</f>
        <v>765</v>
      </c>
      <c r="G6" s="22" t="n">
        <f aca="false">B6*F6</f>
        <v>327856.05</v>
      </c>
      <c r="H6" s="23" t="n">
        <f aca="false">G6*Parameter!$B$18</f>
        <v>1202138.85</v>
      </c>
    </row>
    <row r="7" customFormat="false" ht="15" hidden="false" customHeight="false" outlineLevel="0" collapsed="false">
      <c r="A7" s="4" t="s">
        <v>73</v>
      </c>
      <c r="B7" s="13" t="n">
        <f aca="false">SUM(B4:B6)</f>
        <v>2468.51</v>
      </c>
      <c r="F7" s="13" t="n">
        <f aca="false">G7/B7</f>
        <v>551.813787466934</v>
      </c>
      <c r="G7" s="22" t="n">
        <f aca="false">SUM(G4:G6)</f>
        <v>1362157.8525</v>
      </c>
      <c r="H7" s="22" t="n">
        <f aca="false">SUM(H4:H6)</f>
        <v>4994578.7925</v>
      </c>
      <c r="I7" s="24" t="s">
        <v>111</v>
      </c>
    </row>
    <row r="9" customFormat="false" ht="15" hidden="false" customHeight="false" outlineLevel="0" collapsed="false">
      <c r="A9" s="2" t="s">
        <v>112</v>
      </c>
    </row>
    <row r="10" customFormat="false" ht="15" hidden="false" customHeight="false" outlineLevel="0" collapsed="false">
      <c r="A10" s="2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8"/>
    <col collapsed="false" customWidth="true" hidden="false" outlineLevel="0" max="8" min="7" style="0" width="16"/>
    <col collapsed="false" customWidth="true" hidden="false" outlineLevel="0" max="11" min="9" style="0" width="20"/>
  </cols>
  <sheetData>
    <row r="1" customFormat="false" ht="16.15" hidden="false" customHeight="false" outlineLevel="0" collapsed="false">
      <c r="A1" s="1" t="s">
        <v>114</v>
      </c>
    </row>
    <row r="3" customFormat="false" ht="15" hidden="false" customHeight="false" outlineLevel="0" collapsed="false">
      <c r="A3" s="0" t="s">
        <v>115</v>
      </c>
      <c r="B3" s="15" t="n">
        <f aca="false">(Parameter!$B$6+Parameter!$B$7)*Parameter!$B$8</f>
        <v>135.1485</v>
      </c>
    </row>
    <row r="4" customFormat="false" ht="15" hidden="false" customHeight="false" outlineLevel="0" collapsed="false">
      <c r="A4" s="0" t="s">
        <v>116</v>
      </c>
      <c r="B4" s="15" t="n">
        <f aca="false">SUMPRODUCT(Data_Aktivitas!C13:C15,Data_Aktivitas!E13:E15)</f>
        <v>14.7996886727565</v>
      </c>
    </row>
    <row r="5" customFormat="false" ht="15" hidden="false" customHeight="false" outlineLevel="0" collapsed="false">
      <c r="A5" s="0" t="s">
        <v>117</v>
      </c>
      <c r="B5" s="15" t="n">
        <f aca="false">(B3-B4)*Parameter!$B$18</f>
        <v>441.27897486656</v>
      </c>
    </row>
    <row r="6" customFormat="false" ht="15" hidden="false" customHeight="false" outlineLevel="0" collapsed="false">
      <c r="A6" s="0" t="s">
        <v>118</v>
      </c>
      <c r="B6" s="15" t="n">
        <f aca="false">SUMPRODUCT(Data_Aktivitas!D13:D15,Data_Aktivitas!E13:E15)</f>
        <v>31.6493586417444</v>
      </c>
    </row>
    <row r="7" customFormat="false" ht="15" hidden="false" customHeight="false" outlineLevel="0" collapsed="false">
      <c r="A7" s="0" t="s">
        <v>119</v>
      </c>
      <c r="B7" s="15" t="n">
        <f aca="false">B6-Parameter!$B$13</f>
        <v>12.6493586417444</v>
      </c>
    </row>
    <row r="8" customFormat="false" ht="15" hidden="false" customHeight="false" outlineLevel="0" collapsed="false">
      <c r="A8" s="0" t="s">
        <v>120</v>
      </c>
      <c r="B8" s="15" t="n">
        <f aca="false">Data_Aktivitas!B26</f>
        <v>8.2871</v>
      </c>
    </row>
    <row r="9" customFormat="false" ht="15" hidden="false" customHeight="false" outlineLevel="0" collapsed="false">
      <c r="A9" s="0" t="s">
        <v>121</v>
      </c>
      <c r="B9" s="25" t="n">
        <f aca="false">Parameter!$B$21*(1-Parameter!$B$22)*(1-Parameter!$B$23)*(1-Parameter!$B$24)</f>
        <v>0.2924</v>
      </c>
      <c r="C9" s="24" t="s">
        <v>122</v>
      </c>
    </row>
    <row r="11" customFormat="false" ht="39.55" hidden="false" customHeight="false" outlineLevel="0" collapsed="false">
      <c r="A11" s="3" t="s">
        <v>123</v>
      </c>
      <c r="B11" s="3" t="s">
        <v>124</v>
      </c>
      <c r="C11" s="3" t="s">
        <v>125</v>
      </c>
      <c r="D11" s="3" t="s">
        <v>126</v>
      </c>
      <c r="E11" s="3" t="s">
        <v>127</v>
      </c>
      <c r="F11" s="3" t="s">
        <v>128</v>
      </c>
      <c r="G11" s="3" t="s">
        <v>129</v>
      </c>
      <c r="H11" s="3" t="s">
        <v>130</v>
      </c>
      <c r="I11" s="3" t="s">
        <v>131</v>
      </c>
      <c r="J11" s="3" t="s">
        <v>132</v>
      </c>
      <c r="K11" s="3" t="s">
        <v>133</v>
      </c>
    </row>
    <row r="12" customFormat="false" ht="15" hidden="false" customHeight="false" outlineLevel="0" collapsed="false">
      <c r="A12" s="26" t="n">
        <v>1</v>
      </c>
      <c r="B12" s="13" t="n">
        <f aca="false">$B$8</f>
        <v>8.2871</v>
      </c>
      <c r="C12" s="13" t="n">
        <f aca="false">B12</f>
        <v>8.2871</v>
      </c>
      <c r="D12" s="22" t="n">
        <f aca="false">B12*$B$5</f>
        <v>3656.92299261667</v>
      </c>
      <c r="E12" s="22" t="n">
        <f aca="false">C12*$B$7</f>
        <v>104.8265</v>
      </c>
      <c r="F12" s="22" t="n">
        <f aca="false">D12+E12</f>
        <v>3761.74949261667</v>
      </c>
      <c r="G12" s="22" t="n">
        <f aca="false">F12*$B$9</f>
        <v>1099.93555164111</v>
      </c>
      <c r="H12" s="23" t="n">
        <f aca="false">G12*Parameter!$B$25</f>
        <v>659.961330984668</v>
      </c>
      <c r="I12" s="23" t="n">
        <f aca="false">H12*Parameter!$B$27*Parameter!$B$26</f>
        <v>52796906.4787734</v>
      </c>
      <c r="J12" s="23" t="n">
        <f aca="false">H12*Parameter!$B$28*Parameter!$B$26</f>
        <v>105593812.957547</v>
      </c>
      <c r="K12" s="23" t="n">
        <f aca="false">H12*Parameter!$B$29*Parameter!$B$26</f>
        <v>158390719.43632</v>
      </c>
    </row>
    <row r="13" customFormat="false" ht="15" hidden="false" customHeight="false" outlineLevel="0" collapsed="false">
      <c r="A13" s="26" t="n">
        <v>2</v>
      </c>
      <c r="B13" s="13" t="n">
        <f aca="false">$B$8</f>
        <v>8.2871</v>
      </c>
      <c r="C13" s="13" t="n">
        <f aca="false">C12+B13</f>
        <v>16.5742</v>
      </c>
      <c r="D13" s="22" t="n">
        <f aca="false">B13*$B$5</f>
        <v>3656.92299261667</v>
      </c>
      <c r="E13" s="22" t="n">
        <f aca="false">C13*$B$7</f>
        <v>209.653</v>
      </c>
      <c r="F13" s="22" t="n">
        <f aca="false">D13+E13</f>
        <v>3866.57599261667</v>
      </c>
      <c r="G13" s="22" t="n">
        <f aca="false">F13*$B$9</f>
        <v>1130.58682024111</v>
      </c>
      <c r="H13" s="23" t="n">
        <f aca="false">G13*Parameter!$B$25</f>
        <v>678.352092144668</v>
      </c>
      <c r="I13" s="23" t="n">
        <f aca="false">H13*Parameter!$B$27*Parameter!$B$26</f>
        <v>54268167.3715734</v>
      </c>
      <c r="J13" s="23" t="n">
        <f aca="false">H13*Parameter!$B$28*Parameter!$B$26</f>
        <v>108536334.743147</v>
      </c>
      <c r="K13" s="23" t="n">
        <f aca="false">H13*Parameter!$B$29*Parameter!$B$26</f>
        <v>162804502.11472</v>
      </c>
    </row>
    <row r="14" customFormat="false" ht="15" hidden="false" customHeight="false" outlineLevel="0" collapsed="false">
      <c r="A14" s="26" t="n">
        <v>3</v>
      </c>
      <c r="B14" s="13" t="n">
        <f aca="false">$B$8</f>
        <v>8.2871</v>
      </c>
      <c r="C14" s="13" t="n">
        <f aca="false">C13+B14</f>
        <v>24.8613</v>
      </c>
      <c r="D14" s="22" t="n">
        <f aca="false">B14*$B$5</f>
        <v>3656.92299261667</v>
      </c>
      <c r="E14" s="22" t="n">
        <f aca="false">C14*$B$7</f>
        <v>314.4795</v>
      </c>
      <c r="F14" s="22" t="n">
        <f aca="false">D14+E14</f>
        <v>3971.40249261667</v>
      </c>
      <c r="G14" s="22" t="n">
        <f aca="false">F14*$B$9</f>
        <v>1161.23808884111</v>
      </c>
      <c r="H14" s="23" t="n">
        <f aca="false">G14*Parameter!$B$25</f>
        <v>696.742853304668</v>
      </c>
      <c r="I14" s="23" t="n">
        <f aca="false">H14*Parameter!$B$27*Parameter!$B$26</f>
        <v>55739428.2643734</v>
      </c>
      <c r="J14" s="23" t="n">
        <f aca="false">H14*Parameter!$B$28*Parameter!$B$26</f>
        <v>111478856.528747</v>
      </c>
      <c r="K14" s="23" t="n">
        <f aca="false">H14*Parameter!$B$29*Parameter!$B$26</f>
        <v>167218284.79312</v>
      </c>
    </row>
    <row r="15" customFormat="false" ht="15" hidden="false" customHeight="false" outlineLevel="0" collapsed="false">
      <c r="A15" s="26" t="n">
        <v>4</v>
      </c>
      <c r="B15" s="13" t="n">
        <f aca="false">$B$8</f>
        <v>8.2871</v>
      </c>
      <c r="C15" s="13" t="n">
        <f aca="false">C14+B15</f>
        <v>33.1484</v>
      </c>
      <c r="D15" s="22" t="n">
        <f aca="false">B15*$B$5</f>
        <v>3656.92299261667</v>
      </c>
      <c r="E15" s="22" t="n">
        <f aca="false">C15*$B$7</f>
        <v>419.306</v>
      </c>
      <c r="F15" s="22" t="n">
        <f aca="false">D15+E15</f>
        <v>4076.22899261667</v>
      </c>
      <c r="G15" s="22" t="n">
        <f aca="false">F15*$B$9</f>
        <v>1191.88935744111</v>
      </c>
      <c r="H15" s="23" t="n">
        <f aca="false">G15*Parameter!$B$25</f>
        <v>715.133614464668</v>
      </c>
      <c r="I15" s="23" t="n">
        <f aca="false">H15*Parameter!$B$27*Parameter!$B$26</f>
        <v>57210689.1571734</v>
      </c>
      <c r="J15" s="23" t="n">
        <f aca="false">H15*Parameter!$B$28*Parameter!$B$26</f>
        <v>114421378.314347</v>
      </c>
      <c r="K15" s="23" t="n">
        <f aca="false">H15*Parameter!$B$29*Parameter!$B$26</f>
        <v>171632067.47152</v>
      </c>
    </row>
    <row r="16" customFormat="false" ht="15" hidden="false" customHeight="false" outlineLevel="0" collapsed="false">
      <c r="A16" s="26" t="n">
        <v>5</v>
      </c>
      <c r="B16" s="13" t="n">
        <f aca="false">$B$8</f>
        <v>8.2871</v>
      </c>
      <c r="C16" s="13" t="n">
        <f aca="false">C15+B16</f>
        <v>41.4355</v>
      </c>
      <c r="D16" s="22" t="n">
        <f aca="false">B16*$B$5</f>
        <v>3656.92299261667</v>
      </c>
      <c r="E16" s="22" t="n">
        <f aca="false">C16*$B$7</f>
        <v>524.1325</v>
      </c>
      <c r="F16" s="22" t="n">
        <f aca="false">D16+E16</f>
        <v>4181.05549261667</v>
      </c>
      <c r="G16" s="22" t="n">
        <f aca="false">F16*$B$9</f>
        <v>1222.54062604111</v>
      </c>
      <c r="H16" s="23" t="n">
        <f aca="false">G16*Parameter!$B$25</f>
        <v>733.524375624668</v>
      </c>
      <c r="I16" s="23" t="n">
        <f aca="false">H16*Parameter!$B$27*Parameter!$B$26</f>
        <v>58681950.0499734</v>
      </c>
      <c r="J16" s="23" t="n">
        <f aca="false">H16*Parameter!$B$28*Parameter!$B$26</f>
        <v>117363900.099947</v>
      </c>
      <c r="K16" s="23" t="n">
        <f aca="false">H16*Parameter!$B$29*Parameter!$B$26</f>
        <v>176045850.14992</v>
      </c>
    </row>
    <row r="17" customFormat="false" ht="15" hidden="false" customHeight="false" outlineLevel="0" collapsed="false">
      <c r="A17" s="26" t="n">
        <v>6</v>
      </c>
      <c r="B17" s="13" t="n">
        <f aca="false">$B$8</f>
        <v>8.2871</v>
      </c>
      <c r="C17" s="13" t="n">
        <f aca="false">C16+B17</f>
        <v>49.7226</v>
      </c>
      <c r="D17" s="22" t="n">
        <f aca="false">B17*$B$5</f>
        <v>3656.92299261667</v>
      </c>
      <c r="E17" s="22" t="n">
        <f aca="false">C17*$B$7</f>
        <v>628.959</v>
      </c>
      <c r="F17" s="22" t="n">
        <f aca="false">D17+E17</f>
        <v>4285.88199261667</v>
      </c>
      <c r="G17" s="22" t="n">
        <f aca="false">F17*$B$9</f>
        <v>1253.19189464111</v>
      </c>
      <c r="H17" s="23" t="n">
        <f aca="false">G17*Parameter!$B$25</f>
        <v>751.915136784668</v>
      </c>
      <c r="I17" s="23" t="n">
        <f aca="false">H17*Parameter!$B$27*Parameter!$B$26</f>
        <v>60153210.9427734</v>
      </c>
      <c r="J17" s="23" t="n">
        <f aca="false">H17*Parameter!$B$28*Parameter!$B$26</f>
        <v>120306421.885547</v>
      </c>
      <c r="K17" s="23" t="n">
        <f aca="false">H17*Parameter!$B$29*Parameter!$B$26</f>
        <v>180459632.82832</v>
      </c>
    </row>
    <row r="18" customFormat="false" ht="15" hidden="false" customHeight="false" outlineLevel="0" collapsed="false">
      <c r="A18" s="26" t="n">
        <v>7</v>
      </c>
      <c r="B18" s="13" t="n">
        <f aca="false">$B$8</f>
        <v>8.2871</v>
      </c>
      <c r="C18" s="13" t="n">
        <f aca="false">C17+B18</f>
        <v>58.0097</v>
      </c>
      <c r="D18" s="22" t="n">
        <f aca="false">B18*$B$5</f>
        <v>3656.92299261667</v>
      </c>
      <c r="E18" s="22" t="n">
        <f aca="false">C18*$B$7</f>
        <v>733.7855</v>
      </c>
      <c r="F18" s="22" t="n">
        <f aca="false">D18+E18</f>
        <v>4390.70849261667</v>
      </c>
      <c r="G18" s="22" t="n">
        <f aca="false">F18*$B$9</f>
        <v>1283.84316324111</v>
      </c>
      <c r="H18" s="23" t="n">
        <f aca="false">G18*Parameter!$B$25</f>
        <v>770.305897944668</v>
      </c>
      <c r="I18" s="23" t="n">
        <f aca="false">H18*Parameter!$B$27*Parameter!$B$26</f>
        <v>61624471.8355734</v>
      </c>
      <c r="J18" s="23" t="n">
        <f aca="false">H18*Parameter!$B$28*Parameter!$B$26</f>
        <v>123248943.671147</v>
      </c>
      <c r="K18" s="23" t="n">
        <f aca="false">H18*Parameter!$B$29*Parameter!$B$26</f>
        <v>184873415.50672</v>
      </c>
    </row>
    <row r="19" customFormat="false" ht="15" hidden="false" customHeight="false" outlineLevel="0" collapsed="false">
      <c r="A19" s="26" t="n">
        <v>8</v>
      </c>
      <c r="B19" s="13" t="n">
        <f aca="false">$B$8</f>
        <v>8.2871</v>
      </c>
      <c r="C19" s="13" t="n">
        <f aca="false">C18+B19</f>
        <v>66.2968</v>
      </c>
      <c r="D19" s="22" t="n">
        <f aca="false">B19*$B$5</f>
        <v>3656.92299261667</v>
      </c>
      <c r="E19" s="22" t="n">
        <f aca="false">C19*$B$7</f>
        <v>838.612</v>
      </c>
      <c r="F19" s="22" t="n">
        <f aca="false">D19+E19</f>
        <v>4495.53499261667</v>
      </c>
      <c r="G19" s="22" t="n">
        <f aca="false">F19*$B$9</f>
        <v>1314.49443184111</v>
      </c>
      <c r="H19" s="23" t="n">
        <f aca="false">G19*Parameter!$B$25</f>
        <v>788.696659104668</v>
      </c>
      <c r="I19" s="23" t="n">
        <f aca="false">H19*Parameter!$B$27*Parameter!$B$26</f>
        <v>63095732.7283734</v>
      </c>
      <c r="J19" s="23" t="n">
        <f aca="false">H19*Parameter!$B$28*Parameter!$B$26</f>
        <v>126191465.456747</v>
      </c>
      <c r="K19" s="23" t="n">
        <f aca="false">H19*Parameter!$B$29*Parameter!$B$26</f>
        <v>189287198.18512</v>
      </c>
    </row>
    <row r="20" customFormat="false" ht="15" hidden="false" customHeight="false" outlineLevel="0" collapsed="false">
      <c r="A20" s="26" t="n">
        <v>9</v>
      </c>
      <c r="B20" s="13" t="n">
        <f aca="false">$B$8</f>
        <v>8.2871</v>
      </c>
      <c r="C20" s="13" t="n">
        <f aca="false">C19+B20</f>
        <v>74.5839</v>
      </c>
      <c r="D20" s="22" t="n">
        <f aca="false">B20*$B$5</f>
        <v>3656.92299261667</v>
      </c>
      <c r="E20" s="22" t="n">
        <f aca="false">C20*$B$7</f>
        <v>943.4385</v>
      </c>
      <c r="F20" s="22" t="n">
        <f aca="false">D20+E20</f>
        <v>4600.36149261667</v>
      </c>
      <c r="G20" s="22" t="n">
        <f aca="false">F20*$B$9</f>
        <v>1345.14570044111</v>
      </c>
      <c r="H20" s="23" t="n">
        <f aca="false">G20*Parameter!$B$25</f>
        <v>807.087420264668</v>
      </c>
      <c r="I20" s="23" t="n">
        <f aca="false">H20*Parameter!$B$27*Parameter!$B$26</f>
        <v>64566993.6211734</v>
      </c>
      <c r="J20" s="23" t="n">
        <f aca="false">H20*Parameter!$B$28*Parameter!$B$26</f>
        <v>129133987.242347</v>
      </c>
      <c r="K20" s="23" t="n">
        <f aca="false">H20*Parameter!$B$29*Parameter!$B$26</f>
        <v>193700980.86352</v>
      </c>
    </row>
    <row r="21" customFormat="false" ht="15" hidden="false" customHeight="false" outlineLevel="0" collapsed="false">
      <c r="A21" s="26" t="n">
        <v>10</v>
      </c>
      <c r="B21" s="13" t="n">
        <f aca="false">$B$8</f>
        <v>8.2871</v>
      </c>
      <c r="C21" s="13" t="n">
        <f aca="false">C20+B21</f>
        <v>82.871</v>
      </c>
      <c r="D21" s="22" t="n">
        <f aca="false">B21*$B$5</f>
        <v>3656.92299261667</v>
      </c>
      <c r="E21" s="22" t="n">
        <f aca="false">C21*$B$7</f>
        <v>1048.265</v>
      </c>
      <c r="F21" s="22" t="n">
        <f aca="false">D21+E21</f>
        <v>4705.18799261667</v>
      </c>
      <c r="G21" s="22" t="n">
        <f aca="false">F21*$B$9</f>
        <v>1375.79696904111</v>
      </c>
      <c r="H21" s="23" t="n">
        <f aca="false">G21*Parameter!$B$25</f>
        <v>825.478181424668</v>
      </c>
      <c r="I21" s="23" t="n">
        <f aca="false">H21*Parameter!$B$27*Parameter!$B$26</f>
        <v>66038254.5139734</v>
      </c>
      <c r="J21" s="23" t="n">
        <f aca="false">H21*Parameter!$B$28*Parameter!$B$26</f>
        <v>132076509.027947</v>
      </c>
      <c r="K21" s="23" t="n">
        <f aca="false">H21*Parameter!$B$29*Parameter!$B$26</f>
        <v>198114763.54192</v>
      </c>
    </row>
    <row r="22" customFormat="false" ht="15" hidden="false" customHeight="false" outlineLevel="0" collapsed="false">
      <c r="A22" s="4" t="s">
        <v>134</v>
      </c>
      <c r="B22" s="22" t="n">
        <f aca="false">SUM(B12:B21)</f>
        <v>82.871</v>
      </c>
      <c r="D22" s="22" t="n">
        <f aca="false">SUM(D12:D21)</f>
        <v>36569.2299261667</v>
      </c>
      <c r="E22" s="22" t="n">
        <f aca="false">SUM(E12:E21)</f>
        <v>5765.4575</v>
      </c>
      <c r="F22" s="22" t="n">
        <f aca="false">SUM(F12:F21)</f>
        <v>42334.6874261667</v>
      </c>
      <c r="G22" s="22" t="n">
        <f aca="false">SUM(G12:G21)</f>
        <v>12378.6626034111</v>
      </c>
      <c r="H22" s="22" t="n">
        <f aca="false">SUM(H12:H21)</f>
        <v>7427.19756204668</v>
      </c>
      <c r="I22" s="22" t="n">
        <f aca="false">SUM(I12:I21)</f>
        <v>594175804.963734</v>
      </c>
      <c r="J22" s="22" t="n">
        <f aca="false">SUM(J12:J21)</f>
        <v>1188351609.92747</v>
      </c>
      <c r="K22" s="22" t="n">
        <f aca="false">SUM(K12:K21)</f>
        <v>1782527414.8912</v>
      </c>
    </row>
    <row r="23" customFormat="false" ht="15" hidden="false" customHeight="false" outlineLevel="0" collapsed="false">
      <c r="A23" s="4" t="s">
        <v>135</v>
      </c>
      <c r="B23" s="23" t="n">
        <f aca="false">B22/Parameter!$B$19</f>
        <v>8.2871</v>
      </c>
      <c r="D23" s="23" t="n">
        <f aca="false">D22/Parameter!$B$19</f>
        <v>3656.92299261667</v>
      </c>
      <c r="E23" s="23" t="n">
        <f aca="false">E22/Parameter!$B$19</f>
        <v>576.54575</v>
      </c>
      <c r="F23" s="23" t="n">
        <f aca="false">F22/Parameter!$B$19</f>
        <v>4233.46874261667</v>
      </c>
      <c r="G23" s="23" t="n">
        <f aca="false">G22/Parameter!$B$19</f>
        <v>1237.86626034111</v>
      </c>
      <c r="H23" s="23" t="n">
        <f aca="false">H22/Parameter!$B$19</f>
        <v>742.719756204668</v>
      </c>
      <c r="I23" s="23" t="n">
        <f aca="false">I22/Parameter!$B$19</f>
        <v>59417580.4963734</v>
      </c>
      <c r="J23" s="23" t="n">
        <f aca="false">J22/Parameter!$B$19</f>
        <v>118835160.992747</v>
      </c>
      <c r="K23" s="23" t="n">
        <f aca="false">K22/Parameter!$B$19</f>
        <v>178252741.48912</v>
      </c>
    </row>
    <row r="25" customFormat="false" ht="15" hidden="false" customHeight="false" outlineLevel="0" collapsed="false">
      <c r="A25" s="4" t="s">
        <v>136</v>
      </c>
    </row>
    <row r="26" customFormat="false" ht="52.2" hidden="false" customHeight="false" outlineLevel="0" collapsed="false">
      <c r="A26" s="3" t="s">
        <v>137</v>
      </c>
      <c r="B26" s="3" t="s">
        <v>138</v>
      </c>
      <c r="C26" s="3" t="s">
        <v>139</v>
      </c>
    </row>
    <row r="27" customFormat="false" ht="15" hidden="false" customHeight="false" outlineLevel="0" collapsed="false">
      <c r="A27" s="5" t="s">
        <v>140</v>
      </c>
      <c r="B27" s="12" t="n">
        <v>13745.401281689</v>
      </c>
      <c r="C27" s="27" t="n">
        <f aca="false">B27/$G$23</f>
        <v>11.1041085148417</v>
      </c>
    </row>
    <row r="28" customFormat="false" ht="15" hidden="false" customHeight="false" outlineLevel="0" collapsed="false">
      <c r="A28" s="5" t="s">
        <v>141</v>
      </c>
      <c r="B28" s="12" t="n">
        <v>15641.82595404</v>
      </c>
      <c r="C28" s="27" t="n">
        <f aca="false">B28/$G$23</f>
        <v>12.6361194703939</v>
      </c>
    </row>
    <row r="29" customFormat="false" ht="15" hidden="false" customHeight="false" outlineLevel="0" collapsed="false">
      <c r="A29" s="5" t="s">
        <v>142</v>
      </c>
      <c r="B29" s="12" t="n">
        <v>6.33654550884542</v>
      </c>
      <c r="C29" s="27" t="n">
        <f aca="false">B29/$G$23</f>
        <v>0.00511892577724777</v>
      </c>
    </row>
    <row r="30" customFormat="false" ht="15" hidden="false" customHeight="false" outlineLevel="0" collapsed="false">
      <c r="A30" s="5" t="s">
        <v>143</v>
      </c>
      <c r="B30" s="12" t="n">
        <v>9807.42701107217</v>
      </c>
      <c r="C30" s="27" t="n">
        <f aca="false">B30/$G$23</f>
        <v>7.92284863501295</v>
      </c>
    </row>
    <row r="31" customFormat="false" ht="15" hidden="false" customHeight="false" outlineLevel="0" collapsed="false">
      <c r="A31" s="0" t="s">
        <v>144</v>
      </c>
      <c r="B31" s="22" t="n">
        <f aca="false">G23</f>
        <v>1237.86626034111</v>
      </c>
    </row>
    <row r="33" customFormat="false" ht="15" hidden="false" customHeight="false" outlineLevel="0" collapsed="false">
      <c r="A33" s="2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</cols>
  <sheetData>
    <row r="1" customFormat="false" ht="16.15" hidden="false" customHeight="false" outlineLevel="0" collapsed="false">
      <c r="A1" s="1" t="s">
        <v>146</v>
      </c>
    </row>
    <row r="3" customFormat="false" ht="15" hidden="false" customHeight="false" outlineLevel="0" collapsed="false">
      <c r="A3" s="4" t="s">
        <v>147</v>
      </c>
      <c r="B3" s="15" t="n">
        <f aca="false">Data_Aktivitas!B21</f>
        <v>8.2871</v>
      </c>
      <c r="C3" s="15" t="n">
        <f aca="false">Data_Aktivitas!B23</f>
        <v>27.624</v>
      </c>
    </row>
    <row r="4" customFormat="false" ht="15" hidden="false" customHeight="false" outlineLevel="0" collapsed="false">
      <c r="A4" s="15" t="n">
        <f aca="false">Baseline_REDD!B3</f>
        <v>135.1485</v>
      </c>
      <c r="B4" s="23" t="n">
        <f aca="false">B$3*((($A4-Baseline_REDD!$B$4)*Parameter!$B$18)+Baseline_REDD!$B$7*(Parameter!$B$19+1)/2)*Baseline_REDD!$B$9</f>
        <v>1237.86626034111</v>
      </c>
      <c r="C4" s="23" t="n">
        <f aca="false">C$3*((($A4-Baseline_REDD!$B$4)*Parameter!$B$18)+Baseline_REDD!$B$7*(Parameter!$B$19+1)/2)*Baseline_REDD!$B$9</f>
        <v>4126.27065869398</v>
      </c>
    </row>
    <row r="5" customFormat="false" ht="15" hidden="false" customHeight="false" outlineLevel="0" collapsed="false">
      <c r="A5" s="12" t="n">
        <v>79.67</v>
      </c>
      <c r="B5" s="23" t="n">
        <f aca="false">B$3*((($A5-Baseline_REDD!$B$4)*Parameter!$B$18)+Baseline_REDD!$B$7*(Parameter!$B$19+1)/2)*Baseline_REDD!$B$9</f>
        <v>744.946659038267</v>
      </c>
      <c r="C5" s="23" t="n">
        <f aca="false">C$3*((($A5-Baseline_REDD!$B$4)*Parameter!$B$18)+Baseline_REDD!$B$7*(Parameter!$B$19+1)/2)*Baseline_REDD!$B$9</f>
        <v>2483.18549423478</v>
      </c>
    </row>
    <row r="7" customFormat="false" ht="15" hidden="false" customHeight="false" outlineLevel="0" collapsed="false">
      <c r="A7" s="2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60"/>
    <col collapsed="false" customWidth="true" hidden="false" outlineLevel="0" max="5" min="5" style="0" width="45"/>
    <col collapsed="false" customWidth="true" hidden="false" outlineLevel="0" max="6" min="6" style="0" width="55"/>
  </cols>
  <sheetData>
    <row r="1" customFormat="false" ht="16.15" hidden="false" customHeight="false" outlineLevel="0" collapsed="false">
      <c r="A1" s="1" t="s">
        <v>149</v>
      </c>
    </row>
    <row r="3" customFormat="false" ht="15" hidden="false" customHeight="false" outlineLevel="0" collapsed="false">
      <c r="A3" s="3" t="s">
        <v>150</v>
      </c>
      <c r="B3" s="3" t="s">
        <v>151</v>
      </c>
      <c r="C3" s="3" t="s">
        <v>152</v>
      </c>
      <c r="D3" s="3" t="s">
        <v>153</v>
      </c>
      <c r="E3" s="3" t="s">
        <v>154</v>
      </c>
      <c r="F3" s="3" t="s">
        <v>155</v>
      </c>
    </row>
    <row r="4" customFormat="false" ht="39.55" hidden="false" customHeight="false" outlineLevel="0" collapsed="false">
      <c r="A4" s="28" t="n">
        <v>1</v>
      </c>
      <c r="B4" s="28" t="s">
        <v>156</v>
      </c>
      <c r="C4" s="28" t="s">
        <v>157</v>
      </c>
      <c r="D4" s="28" t="s">
        <v>158</v>
      </c>
      <c r="E4" s="28" t="s">
        <v>159</v>
      </c>
      <c r="F4" s="28" t="s">
        <v>160</v>
      </c>
    </row>
    <row r="5" customFormat="false" ht="26.85" hidden="false" customHeight="false" outlineLevel="0" collapsed="false">
      <c r="A5" s="28" t="n">
        <v>2</v>
      </c>
      <c r="B5" s="28" t="s">
        <v>161</v>
      </c>
      <c r="C5" s="28" t="s">
        <v>157</v>
      </c>
      <c r="D5" s="28" t="s">
        <v>162</v>
      </c>
      <c r="E5" s="28" t="s">
        <v>163</v>
      </c>
      <c r="F5" s="28" t="s">
        <v>164</v>
      </c>
    </row>
    <row r="6" customFormat="false" ht="26.85" hidden="false" customHeight="false" outlineLevel="0" collapsed="false">
      <c r="A6" s="28" t="n">
        <v>3</v>
      </c>
      <c r="B6" s="28" t="s">
        <v>165</v>
      </c>
      <c r="C6" s="28" t="s">
        <v>157</v>
      </c>
      <c r="D6" s="28" t="s">
        <v>166</v>
      </c>
      <c r="E6" s="28" t="s">
        <v>167</v>
      </c>
      <c r="F6" s="28" t="s">
        <v>168</v>
      </c>
    </row>
    <row r="7" customFormat="false" ht="26.85" hidden="false" customHeight="false" outlineLevel="0" collapsed="false">
      <c r="A7" s="28" t="n">
        <v>4</v>
      </c>
      <c r="B7" s="28" t="s">
        <v>169</v>
      </c>
      <c r="C7" s="28" t="s">
        <v>157</v>
      </c>
      <c r="D7" s="28" t="s">
        <v>170</v>
      </c>
      <c r="E7" s="28" t="s">
        <v>171</v>
      </c>
      <c r="F7" s="28" t="s">
        <v>172</v>
      </c>
    </row>
    <row r="8" customFormat="false" ht="26.85" hidden="false" customHeight="false" outlineLevel="0" collapsed="false">
      <c r="A8" s="28" t="n">
        <v>5</v>
      </c>
      <c r="B8" s="28" t="s">
        <v>173</v>
      </c>
      <c r="C8" s="28" t="s">
        <v>174</v>
      </c>
      <c r="D8" s="28" t="s">
        <v>175</v>
      </c>
      <c r="E8" s="28" t="s">
        <v>176</v>
      </c>
      <c r="F8" s="28" t="s">
        <v>177</v>
      </c>
    </row>
    <row r="9" customFormat="false" ht="26.85" hidden="false" customHeight="false" outlineLevel="0" collapsed="false">
      <c r="A9" s="28" t="n">
        <v>6</v>
      </c>
      <c r="B9" s="28" t="s">
        <v>178</v>
      </c>
      <c r="C9" s="28" t="s">
        <v>157</v>
      </c>
      <c r="D9" s="28" t="s">
        <v>179</v>
      </c>
      <c r="E9" s="28" t="s">
        <v>180</v>
      </c>
      <c r="F9" s="28" t="s">
        <v>181</v>
      </c>
    </row>
    <row r="10" customFormat="false" ht="26.85" hidden="false" customHeight="false" outlineLevel="0" collapsed="false">
      <c r="A10" s="28" t="n">
        <v>7</v>
      </c>
      <c r="B10" s="28" t="s">
        <v>182</v>
      </c>
      <c r="C10" s="28" t="s">
        <v>157</v>
      </c>
      <c r="D10" s="28" t="s">
        <v>183</v>
      </c>
      <c r="E10" s="28" t="s">
        <v>184</v>
      </c>
      <c r="F10" s="28" t="s">
        <v>185</v>
      </c>
    </row>
    <row r="11" customFormat="false" ht="26.85" hidden="false" customHeight="false" outlineLevel="0" collapsed="false">
      <c r="A11" s="28" t="n">
        <v>8</v>
      </c>
      <c r="B11" s="28" t="s">
        <v>186</v>
      </c>
      <c r="C11" s="28" t="s">
        <v>174</v>
      </c>
      <c r="D11" s="28" t="s">
        <v>187</v>
      </c>
      <c r="E11" s="28" t="s">
        <v>188</v>
      </c>
      <c r="F11" s="28" t="s">
        <v>189</v>
      </c>
    </row>
    <row r="12" customFormat="false" ht="15" hidden="false" customHeight="false" outlineLevel="0" collapsed="false">
      <c r="A12" s="28" t="n">
        <v>9</v>
      </c>
      <c r="B12" s="28" t="s">
        <v>190</v>
      </c>
      <c r="C12" s="28" t="s">
        <v>174</v>
      </c>
      <c r="D12" s="28" t="s">
        <v>191</v>
      </c>
      <c r="E12" s="28" t="s">
        <v>192</v>
      </c>
      <c r="F12" s="28" t="s">
        <v>193</v>
      </c>
    </row>
    <row r="13" customFormat="false" ht="39.55" hidden="false" customHeight="false" outlineLevel="0" collapsed="false">
      <c r="A13" s="28" t="n">
        <v>10</v>
      </c>
      <c r="B13" s="28" t="s">
        <v>194</v>
      </c>
      <c r="C13" s="28" t="s">
        <v>174</v>
      </c>
      <c r="D13" s="28" t="s">
        <v>195</v>
      </c>
      <c r="E13" s="28" t="s">
        <v>196</v>
      </c>
      <c r="F13" s="28" t="s">
        <v>197</v>
      </c>
    </row>
    <row r="14" customFormat="false" ht="39.55" hidden="false" customHeight="false" outlineLevel="0" collapsed="false">
      <c r="A14" s="28" t="n">
        <v>11</v>
      </c>
      <c r="B14" s="28" t="s">
        <v>198</v>
      </c>
      <c r="C14" s="28" t="s">
        <v>199</v>
      </c>
      <c r="D14" s="28" t="s">
        <v>200</v>
      </c>
      <c r="E14" s="28" t="s">
        <v>201</v>
      </c>
      <c r="F14" s="28" t="s">
        <v>202</v>
      </c>
    </row>
    <row r="15" customFormat="false" ht="26.85" hidden="false" customHeight="false" outlineLevel="0" collapsed="false">
      <c r="A15" s="28" t="n">
        <v>12</v>
      </c>
      <c r="B15" s="28" t="s">
        <v>203</v>
      </c>
      <c r="C15" s="28" t="s">
        <v>199</v>
      </c>
      <c r="D15" s="28" t="s">
        <v>204</v>
      </c>
      <c r="E15" s="28" t="s">
        <v>205</v>
      </c>
      <c r="F15" s="28" t="s">
        <v>206</v>
      </c>
    </row>
    <row r="16" customFormat="false" ht="26.85" hidden="false" customHeight="false" outlineLevel="0" collapsed="false">
      <c r="A16" s="28" t="n">
        <v>13</v>
      </c>
      <c r="B16" s="28" t="s">
        <v>207</v>
      </c>
      <c r="C16" s="28" t="s">
        <v>199</v>
      </c>
      <c r="D16" s="28" t="s">
        <v>208</v>
      </c>
      <c r="E16" s="28" t="s">
        <v>209</v>
      </c>
      <c r="F16" s="28" t="s">
        <v>210</v>
      </c>
    </row>
    <row r="17" customFormat="false" ht="26.85" hidden="false" customHeight="false" outlineLevel="0" collapsed="false">
      <c r="A17" s="28" t="n">
        <v>14</v>
      </c>
      <c r="B17" s="28" t="s">
        <v>211</v>
      </c>
      <c r="C17" s="28" t="s">
        <v>212</v>
      </c>
      <c r="D17" s="28" t="s">
        <v>213</v>
      </c>
      <c r="E17" s="28" t="s">
        <v>214</v>
      </c>
      <c r="F17" s="28" t="s">
        <v>215</v>
      </c>
    </row>
    <row r="18" customFormat="false" ht="26.85" hidden="false" customHeight="false" outlineLevel="0" collapsed="false">
      <c r="A18" s="28" t="n">
        <v>15</v>
      </c>
      <c r="B18" s="28" t="s">
        <v>216</v>
      </c>
      <c r="C18" s="28" t="s">
        <v>199</v>
      </c>
      <c r="D18" s="28" t="s">
        <v>217</v>
      </c>
      <c r="E18" s="28" t="s">
        <v>218</v>
      </c>
      <c r="F18" s="28" t="s">
        <v>219</v>
      </c>
    </row>
    <row r="19" customFormat="false" ht="26.85" hidden="false" customHeight="false" outlineLevel="0" collapsed="false">
      <c r="A19" s="28" t="n">
        <v>16</v>
      </c>
      <c r="B19" s="28" t="s">
        <v>220</v>
      </c>
      <c r="C19" s="28" t="s">
        <v>199</v>
      </c>
      <c r="D19" s="28" t="s">
        <v>221</v>
      </c>
      <c r="E19" s="28" t="s">
        <v>222</v>
      </c>
      <c r="F19" s="28" t="s">
        <v>223</v>
      </c>
    </row>
    <row r="20" customFormat="false" ht="15" hidden="false" customHeight="false" outlineLevel="0" collapsed="false">
      <c r="A20" s="28" t="n">
        <v>17</v>
      </c>
      <c r="B20" s="28" t="s">
        <v>224</v>
      </c>
      <c r="C20" s="28" t="s">
        <v>212</v>
      </c>
      <c r="D20" s="28" t="s">
        <v>225</v>
      </c>
      <c r="E20" s="28" t="s">
        <v>226</v>
      </c>
      <c r="F20" s="28" t="s">
        <v>227</v>
      </c>
    </row>
    <row r="21" customFormat="false" ht="26.85" hidden="false" customHeight="false" outlineLevel="0" collapsed="false">
      <c r="A21" s="28" t="n">
        <v>18</v>
      </c>
      <c r="B21" s="28" t="s">
        <v>228</v>
      </c>
      <c r="C21" s="28" t="s">
        <v>212</v>
      </c>
      <c r="D21" s="28" t="s">
        <v>229</v>
      </c>
      <c r="E21" s="28" t="s">
        <v>230</v>
      </c>
      <c r="F21" s="28" t="s">
        <v>231</v>
      </c>
    </row>
    <row r="22" customFormat="false" ht="39.55" hidden="false" customHeight="false" outlineLevel="0" collapsed="false">
      <c r="A22" s="28" t="n">
        <v>19</v>
      </c>
      <c r="B22" s="28" t="s">
        <v>232</v>
      </c>
      <c r="C22" s="28" t="s">
        <v>199</v>
      </c>
      <c r="D22" s="28" t="s">
        <v>233</v>
      </c>
      <c r="E22" s="28" t="s">
        <v>234</v>
      </c>
      <c r="F22" s="28" t="s">
        <v>235</v>
      </c>
    </row>
    <row r="23" customFormat="false" ht="39.55" hidden="false" customHeight="false" outlineLevel="0" collapsed="false">
      <c r="A23" s="28" t="n">
        <v>20</v>
      </c>
      <c r="B23" s="28" t="s">
        <v>236</v>
      </c>
      <c r="C23" s="28" t="s">
        <v>174</v>
      </c>
      <c r="D23" s="28" t="s">
        <v>237</v>
      </c>
      <c r="E23" s="28" t="s">
        <v>238</v>
      </c>
      <c r="F23" s="28" t="s">
        <v>239</v>
      </c>
    </row>
    <row r="24" customFormat="false" ht="39.55" hidden="false" customHeight="false" outlineLevel="0" collapsed="false">
      <c r="A24" s="28" t="n">
        <v>21</v>
      </c>
      <c r="B24" s="28" t="s">
        <v>240</v>
      </c>
      <c r="C24" s="28" t="s">
        <v>199</v>
      </c>
      <c r="D24" s="28" t="s">
        <v>241</v>
      </c>
      <c r="E24" s="28" t="s">
        <v>242</v>
      </c>
      <c r="F24" s="28" t="s">
        <v>243</v>
      </c>
    </row>
    <row r="25" customFormat="false" ht="26.85" hidden="false" customHeight="false" outlineLevel="0" collapsed="false">
      <c r="A25" s="28" t="n">
        <v>22</v>
      </c>
      <c r="B25" s="28" t="s">
        <v>244</v>
      </c>
      <c r="C25" s="28" t="s">
        <v>199</v>
      </c>
      <c r="D25" s="28" t="s">
        <v>245</v>
      </c>
      <c r="E25" s="28" t="s">
        <v>246</v>
      </c>
      <c r="F25" s="28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2026-10-23T05:16:46Z</dcterms:created>
  <dc:creator>openpyxl</dc:creator>
  <dc:description/>
  <dc:language>en-US</dc:language>
  <cp:lastModifiedBy/>
  <dcterms:modified xsi:type="dcterms:W3CDTF">2026-10-23T05:16:46Z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