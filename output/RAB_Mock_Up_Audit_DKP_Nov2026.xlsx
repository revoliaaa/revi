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B Mock Up Audit DKP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<sst xmlns="http://schemas.openxmlformats.org/spreadsheetml/2006/main" count="208" uniqueCount="119">
  <si>
    <t xml:space="preserve">RENCANA ANGGARAN BIAYA (RAB)</t>
  </si>
  <si>
    <t xml:space="preserve">MOCK UP AUDIT (MOCK ASSESSMENT) VALIDASI PDD &amp; VERIFIKASI MR DELTA KAPUAS PROJECT – STANDAR VERRA</t>
  </si>
  <si>
    <t xml:space="preserve">Persiapan: 21 Oktober – 6 November 2026  |  Pelaksanaan: 9 – 12 November 2026  |  Kantor SAMPAN &amp; Lokasi Proyek, Kubu Raya</t>
  </si>
  <si>
    <t xml:space="preserve">No.</t>
  </si>
  <si>
    <t xml:space="preserve">Komponen Biaya</t>
  </si>
  <si>
    <t xml:space="preserve">Harga Satuan</t>
  </si>
  <si>
    <t xml:space="preserve">Vol. 1</t>
  </si>
  <si>
    <t xml:space="preserve">Satuan 1</t>
  </si>
  <si>
    <t xml:space="preserve">Vol. 2</t>
  </si>
  <si>
    <t xml:space="preserve">Satuan 2</t>
  </si>
  <si>
    <t xml:space="preserve">Vol. 3</t>
  </si>
  <si>
    <t xml:space="preserve">Satuan 3</t>
  </si>
  <si>
    <t xml:space="preserve">Jumlah</t>
  </si>
  <si>
    <t xml:space="preserve">Keterangan</t>
  </si>
  <si>
    <t xml:space="preserve">A</t>
  </si>
  <si>
    <t xml:space="preserve">PERSIAPAN MOCK UP AUDIT</t>
  </si>
  <si>
    <t xml:space="preserve">A.1.</t>
  </si>
  <si>
    <t xml:space="preserve">ATK DAN PENATAAN DOKUMEN</t>
  </si>
  <si>
    <t xml:space="preserve">Kertas HVS A4 70 gsm</t>
  </si>
  <si>
    <t xml:space="preserve">Rim</t>
  </si>
  <si>
    <t xml:space="preserve">Paket</t>
  </si>
  <si>
    <t xml:space="preserve">Cetak dokumen PDD, MR, SOP, daftar induk dokumen &amp; bukti pendukung</t>
  </si>
  <si>
    <t xml:space="preserve">Tinta printer (1 set 4 warna)</t>
  </si>
  <si>
    <t xml:space="preserve">Set</t>
  </si>
  <si>
    <t xml:space="preserve">Pencetakan dokumen &amp; peta berwarna</t>
  </si>
  <si>
    <t xml:space="preserve">Ordner/binder besar</t>
  </si>
  <si>
    <t xml:space="preserve">Pcs</t>
  </si>
  <si>
    <t xml:space="preserve">Arsip kantor dipilah per section: General, Climate, Biodiversity, Social</t>
  </si>
  <si>
    <t xml:space="preserve">Box file</t>
  </si>
  <si>
    <t xml:space="preserve">Penyimpanan bukti pendukung (daftar hadir, BA, foto, dll)</t>
  </si>
  <si>
    <t xml:space="preserve">Map plastik / clear holder</t>
  </si>
  <si>
    <t xml:space="preserve">Pemisah dokumen per klausul/indikator</t>
  </si>
  <si>
    <t xml:space="preserve">Paket ATK pendukung (label, index divider, sticky notes, spidol, lakban, stapler &amp; isi, pulpen)</t>
  </si>
  <si>
    <t xml:space="preserve">Penomoran, pelabelan &amp; indeks arsip</t>
  </si>
  <si>
    <t xml:space="preserve">Paket ATK berkas desa (2 ordner, 5 map kancing, label, pulpen)</t>
  </si>
  <si>
    <t xml:space="preserve">Desa</t>
  </si>
  <si>
    <t xml:space="preserve">Isi drybox masing-masing desa</t>
  </si>
  <si>
    <t xml:space="preserve">Cetak warna &amp; jilid dokumen audit (PDD, MR, SOP, peta)</t>
  </si>
  <si>
    <t xml:space="preserve">Salinan kerja untuk tim auditor &amp; PIC</t>
  </si>
  <si>
    <t xml:space="preserve">A.2.</t>
  </si>
  <si>
    <t xml:space="preserve">SARANA PENYIMPANAN ARSIP</t>
  </si>
  <si>
    <t xml:space="preserve">Lemari arsip besi</t>
  </si>
  <si>
    <t xml:space="preserve">Unit</t>
  </si>
  <si>
    <t xml:space="preserve">Penyimpanan arsip PDD-MR di Kantor SAMPAN</t>
  </si>
  <si>
    <t xml:space="preserve">Drybox penyimpanan berkas desa (kontainer kedap air ±50 L)</t>
  </si>
  <si>
    <t xml:space="preserve">1 unit per desa; melindungi berkas dari lembap/air</t>
  </si>
  <si>
    <t xml:space="preserve">Silica gel / penyerap lembap</t>
  </si>
  <si>
    <t xml:space="preserve">Diletakkan di dalam drybox</t>
  </si>
  <si>
    <t xml:space="preserve">Gembok &amp; label identitas drybox</t>
  </si>
  <si>
    <t xml:space="preserve">Keamanan &amp; identitas berkas desa</t>
  </si>
  <si>
    <t xml:space="preserve">A.3.</t>
  </si>
  <si>
    <t xml:space="preserve">DISTRIBUSI DAN RAPAT PERSIAPAN</t>
  </si>
  <si>
    <t xml:space="preserve">Transport distribusi drybox &amp; pengecekan kelengkapan berkas desa</t>
  </si>
  <si>
    <t xml:space="preserve">Kali</t>
  </si>
  <si>
    <t xml:space="preserve">BBM/transport lokal fasilitator ke 25 desa</t>
  </si>
  <si>
    <t xml:space="preserve">Konsumsi rapat persiapan &amp; pre-review internal (snack)</t>
  </si>
  <si>
    <t xml:space="preserve">Orang</t>
  </si>
  <si>
    <t xml:space="preserve">3 kali rapat persiapan tim DKP</t>
  </si>
  <si>
    <t xml:space="preserve">SUBTOTAL A</t>
  </si>
  <si>
    <t xml:space="preserve">B</t>
  </si>
  <si>
    <t xml:space="preserve">KONSUMSI PELAKSANAAN</t>
  </si>
  <si>
    <t xml:space="preserve">Makan siang (kantor &amp; lapangan)</t>
  </si>
  <si>
    <t xml:space="preserve">Hari</t>
  </si>
  <si>
    <t xml:space="preserve">9–12 Nov; 14 tamu (3 auditor, 10 WAS, 1 expert) + 17 tim DKP</t>
  </si>
  <si>
    <t xml:space="preserve">Makan malam bersama</t>
  </si>
  <si>
    <t xml:space="preserve">Malam</t>
  </si>
  <si>
    <t xml:space="preserve">9, 10, 11 Nov (itinerary: 10–11 Nov; 9 Nov opsional)</t>
  </si>
  <si>
    <t xml:space="preserve">Snack / coffee break kantor</t>
  </si>
  <si>
    <t xml:space="preserve">9 Nov (pagi &amp; sore), 12 Nov (pagi)</t>
  </si>
  <si>
    <t xml:space="preserve">Snack &amp; air mineral lapangan</t>
  </si>
  <si>
    <t xml:space="preserve">Field visit 10–11 Nov</t>
  </si>
  <si>
    <t xml:space="preserve">Air mineral galon, kopi, teh, gula (kantor)</t>
  </si>
  <si>
    <t xml:space="preserve">Kebutuhan ruang audit</t>
  </si>
  <si>
    <t xml:space="preserve">Konsumsi perwakilan masyarakat/kelompok (makan + snack)</t>
  </si>
  <si>
    <t xml:space="preserve">Informan lapangan: LPHD, KUPS, HLKS</t>
  </si>
  <si>
    <t xml:space="preserve">SUBTOTAL B</t>
  </si>
  <si>
    <t xml:space="preserve">C</t>
  </si>
  <si>
    <t xml:space="preserve">KESEKRETARIATAN PELAKSANAAN</t>
  </si>
  <si>
    <t xml:space="preserve">Banner 3x1</t>
  </si>
  <si>
    <t xml:space="preserve">Lembar</t>
  </si>
  <si>
    <t xml:space="preserve">Ruang pembukaan &amp; paparan temuan</t>
  </si>
  <si>
    <t xml:space="preserve">Meeting kit tamu (notes, pulpen, map, name tag)</t>
  </si>
  <si>
    <t xml:space="preserve">Auditor, WAS &amp; expert</t>
  </si>
  <si>
    <t xml:space="preserve">Penggandaan dokumen kegiatan (daftar hadir, checklist, berita acara, peta lapangan)</t>
  </si>
  <si>
    <t xml:space="preserve">Kotak P3K &amp; obat-obatan lapangan</t>
  </si>
  <si>
    <t xml:space="preserve">Tim</t>
  </si>
  <si>
    <t xml:space="preserve">Tim Sosial, Climate, Biodiversity</t>
  </si>
  <si>
    <t xml:space="preserve">Perlengkapan K3 lapangan (jas hujan, sepatu boot, topi)</t>
  </si>
  <si>
    <t xml:space="preserve">Mendukung safety induction field visit</t>
  </si>
  <si>
    <t xml:space="preserve">SUBTOTAL C</t>
  </si>
  <si>
    <t xml:space="preserve">D</t>
  </si>
  <si>
    <t xml:space="preserve">TRANSPORTASI, UANG HARIAN DAN TRANSPORT PENGGANTI</t>
  </si>
  <si>
    <t xml:space="preserve">D.1.</t>
  </si>
  <si>
    <t xml:space="preserve">TRANSPORTASI LOKAL</t>
  </si>
  <si>
    <t xml:space="preserve">Sewa Toyota Hi-Ace + driver</t>
  </si>
  <si>
    <t xml:space="preserve">Alternatif 1 itinerary (Hi-Ace + Fortuner); termasuk jemput/antar Bandara Supadio</t>
  </si>
  <si>
    <t xml:space="preserve">Sewa Toyota Fortuner + driver</t>
  </si>
  <si>
    <t xml:space="preserve">Pasangan Hi-Ace (Alternatif 1). Alternatif 2: Fortuner 1 + Innova 2. PIC: Rofik</t>
  </si>
  <si>
    <t xml:space="preserve">BBM kendaraan sewa</t>
  </si>
  <si>
    <t xml:space="preserve">BBM kendaraan operasional tim DKP ke lapangan</t>
  </si>
  <si>
    <t xml:space="preserve">Tol, parkir &amp; retribusi</t>
  </si>
  <si>
    <t xml:space="preserve">D.2.</t>
  </si>
  <si>
    <t xml:space="preserve">UANG HARIAN DAN TRANSPORT PENGGANTI</t>
  </si>
  <si>
    <t xml:space="preserve">Uang harian auditor, WAS &amp; expert</t>
  </si>
  <si>
    <t xml:space="preserve">9–12 Nov</t>
  </si>
  <si>
    <t xml:space="preserve">Uang lapangan tim DKP</t>
  </si>
  <si>
    <t xml:space="preserve">Transport pengganti perwakilan masyarakat/kelompok</t>
  </si>
  <si>
    <t xml:space="preserve">Informan wawancara lapangan</t>
  </si>
  <si>
    <t xml:space="preserve">SUBTOTAL D</t>
  </si>
  <si>
    <t xml:space="preserve">TOTAL KESELURUHAN</t>
  </si>
  <si>
    <t xml:space="preserve">REKAPITULASI</t>
  </si>
  <si>
    <t xml:space="preserve">Tahap Persiapan (A)</t>
  </si>
  <si>
    <t xml:space="preserve">Tahap Pelaksanaan 9–12 Nov 2026 (B + C + D)</t>
  </si>
  <si>
    <t xml:space="preserve">Total</t>
  </si>
  <si>
    <t xml:space="preserve">Catatan:</t>
  </si>
  <si>
    <t xml:space="preserve">1. Tiket penerbangan dan akomodasi hotel tim auditor, WAS dan expert TIDAK termasuk dalam RAB ini.</t>
  </si>
  <si>
    <t xml:space="preserve">2. Seluruh komponen lain selama persiapan dan pelaksanaan Mock Up Audit ditanggung oleh SAMPAN Kalimantan.</t>
  </si>
  <si>
    <t xml:space="preserve">3. Harga satuan merupakan estimasi; sesuaikan dengan penawaran vendor dan standar biaya SAMPAN.</t>
  </si>
  <si>
    <t xml:space="preserve">4. Jumlah peserta: 3 auditor, 10 WAS, 1 expert (14 tamu) dan 17 tim DKP SAMPAN.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</si>
</sst>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p &quot;#,##0"/>
  </numFmts>
  <fonts count="8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i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9" tint="0.3999"/>
        <bgColor rgb="FFC0C0C0"/>
      </patternFill>
    </fill>
    <fill>
      <patternFill patternType="solid">
        <fgColor rgb="FFFFF2CC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ED973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.16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62"/>
    <col collapsed="false" customWidth="true" hidden="false" outlineLevel="0" max="12" min="12" style="0" width="11.5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7.35" hidden="false" customHeight="fals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</row>
    <row r="5" customFormat="false" ht="15" hidden="false" customHeight="false" outlineLevel="0" collapsed="false">
      <c r="A5" s="4" t="s">
        <v>14</v>
      </c>
      <c r="B5" s="5" t="s">
        <v>15</v>
      </c>
      <c r="C5" s="6"/>
      <c r="D5" s="7"/>
      <c r="E5" s="7"/>
      <c r="F5" s="7"/>
      <c r="G5" s="7"/>
      <c r="H5" s="7"/>
      <c r="I5" s="7"/>
      <c r="J5" s="8"/>
    </row>
    <row r="6" customFormat="false" ht="15" hidden="false" customHeight="false" outlineLevel="0" collapsed="false">
      <c r="A6" s="9" t="s">
        <v>16</v>
      </c>
      <c r="B6" s="5" t="s">
        <v>17</v>
      </c>
      <c r="C6" s="10"/>
      <c r="D6" s="9"/>
      <c r="E6" s="9"/>
      <c r="F6" s="9"/>
      <c r="G6" s="9"/>
      <c r="H6" s="9"/>
      <c r="I6" s="9"/>
      <c r="J6" s="10"/>
    </row>
    <row r="7" customFormat="false" ht="28.35" hidden="false" customHeight="false" outlineLevel="0" collapsed="false">
      <c r="A7" s="11" t="n">
        <v>1</v>
      </c>
      <c r="B7" s="12" t="s">
        <v>18</v>
      </c>
      <c r="C7" s="13" t="n">
        <v>55000</v>
      </c>
      <c r="D7" s="12" t="n">
        <v>20</v>
      </c>
      <c r="E7" s="12" t="s">
        <v>19</v>
      </c>
      <c r="F7" s="12" t="n">
        <v>1</v>
      </c>
      <c r="G7" s="12" t="s">
        <v>20</v>
      </c>
      <c r="H7" s="12" t="n">
        <v>1</v>
      </c>
      <c r="I7" s="12" t="s">
        <v>20</v>
      </c>
      <c r="J7" s="13" t="n">
        <f aca="false">C7*D7*F7*H7</f>
        <v>1100000</v>
      </c>
      <c r="K7" s="14" t="s">
        <v>21</v>
      </c>
    </row>
    <row r="8" customFormat="false" ht="15" hidden="false" customHeight="false" outlineLevel="0" collapsed="false">
      <c r="A8" s="11" t="n">
        <v>2</v>
      </c>
      <c r="B8" s="12" t="s">
        <v>22</v>
      </c>
      <c r="C8" s="13" t="n">
        <v>400000</v>
      </c>
      <c r="D8" s="12" t="n">
        <v>3</v>
      </c>
      <c r="E8" s="12" t="s">
        <v>23</v>
      </c>
      <c r="F8" s="12" t="n">
        <v>1</v>
      </c>
      <c r="G8" s="12" t="s">
        <v>20</v>
      </c>
      <c r="H8" s="12" t="n">
        <v>1</v>
      </c>
      <c r="I8" s="12" t="s">
        <v>20</v>
      </c>
      <c r="J8" s="13" t="n">
        <f aca="false">C8*D8*F8*H8</f>
        <v>1200000</v>
      </c>
      <c r="K8" s="14" t="s">
        <v>24</v>
      </c>
    </row>
    <row r="9" customFormat="false" ht="15" hidden="false" customHeight="false" outlineLevel="0" collapsed="false">
      <c r="A9" s="11" t="n">
        <v>3</v>
      </c>
      <c r="B9" s="12" t="s">
        <v>25</v>
      </c>
      <c r="C9" s="13" t="n">
        <v>35000</v>
      </c>
      <c r="D9" s="12" t="n">
        <v>60</v>
      </c>
      <c r="E9" s="12" t="s">
        <v>26</v>
      </c>
      <c r="F9" s="12" t="n">
        <v>1</v>
      </c>
      <c r="G9" s="12" t="s">
        <v>20</v>
      </c>
      <c r="H9" s="12" t="n">
        <v>1</v>
      </c>
      <c r="I9" s="12" t="s">
        <v>20</v>
      </c>
      <c r="J9" s="13" t="n">
        <f aca="false">C9*D9*F9*H9</f>
        <v>2100000</v>
      </c>
      <c r="K9" s="14" t="s">
        <v>27</v>
      </c>
    </row>
    <row r="10" customFormat="false" ht="15" hidden="false" customHeight="false" outlineLevel="0" collapsed="false">
      <c r="A10" s="11" t="n">
        <v>4</v>
      </c>
      <c r="B10" s="12" t="s">
        <v>28</v>
      </c>
      <c r="C10" s="13" t="n">
        <v>25000</v>
      </c>
      <c r="D10" s="12" t="n">
        <v>40</v>
      </c>
      <c r="E10" s="12" t="s">
        <v>26</v>
      </c>
      <c r="F10" s="12" t="n">
        <v>1</v>
      </c>
      <c r="G10" s="12" t="s">
        <v>20</v>
      </c>
      <c r="H10" s="12" t="n">
        <v>1</v>
      </c>
      <c r="I10" s="12" t="s">
        <v>20</v>
      </c>
      <c r="J10" s="13" t="n">
        <f aca="false">C10*D10*F10*H10</f>
        <v>1000000</v>
      </c>
      <c r="K10" s="14" t="s">
        <v>29</v>
      </c>
    </row>
    <row r="11" customFormat="false" ht="15" hidden="false" customHeight="false" outlineLevel="0" collapsed="false">
      <c r="A11" s="11" t="n">
        <v>5</v>
      </c>
      <c r="B11" s="12" t="s">
        <v>30</v>
      </c>
      <c r="C11" s="13" t="n">
        <v>20000</v>
      </c>
      <c r="D11" s="12" t="n">
        <v>50</v>
      </c>
      <c r="E11" s="12" t="s">
        <v>26</v>
      </c>
      <c r="F11" s="12" t="n">
        <v>1</v>
      </c>
      <c r="G11" s="12" t="s">
        <v>20</v>
      </c>
      <c r="H11" s="12" t="n">
        <v>1</v>
      </c>
      <c r="I11" s="12" t="s">
        <v>20</v>
      </c>
      <c r="J11" s="13" t="n">
        <f aca="false">C11*D11*F11*H11</f>
        <v>1000000</v>
      </c>
      <c r="K11" s="14" t="s">
        <v>31</v>
      </c>
    </row>
    <row r="12" customFormat="false" ht="28.35" hidden="false" customHeight="false" outlineLevel="0" collapsed="false">
      <c r="A12" s="11" t="n">
        <v>6</v>
      </c>
      <c r="B12" s="12" t="s">
        <v>32</v>
      </c>
      <c r="C12" s="13" t="n">
        <v>1000000</v>
      </c>
      <c r="D12" s="12" t="n">
        <v>1</v>
      </c>
      <c r="E12" s="12" t="s">
        <v>20</v>
      </c>
      <c r="F12" s="12" t="n">
        <v>1</v>
      </c>
      <c r="G12" s="12" t="s">
        <v>20</v>
      </c>
      <c r="H12" s="12" t="n">
        <v>1</v>
      </c>
      <c r="I12" s="12" t="s">
        <v>20</v>
      </c>
      <c r="J12" s="13" t="n">
        <f aca="false">C12*D12*F12*H12</f>
        <v>1000000</v>
      </c>
      <c r="K12" s="14" t="s">
        <v>33</v>
      </c>
    </row>
    <row r="13" customFormat="false" ht="28.35" hidden="false" customHeight="false" outlineLevel="0" collapsed="false">
      <c r="A13" s="11" t="n">
        <v>7</v>
      </c>
      <c r="B13" s="12" t="s">
        <v>34</v>
      </c>
      <c r="C13" s="13" t="n">
        <v>150000</v>
      </c>
      <c r="D13" s="12" t="n">
        <v>25</v>
      </c>
      <c r="E13" s="12" t="s">
        <v>35</v>
      </c>
      <c r="F13" s="12" t="n">
        <v>1</v>
      </c>
      <c r="G13" s="12" t="s">
        <v>20</v>
      </c>
      <c r="H13" s="12" t="n">
        <v>1</v>
      </c>
      <c r="I13" s="12" t="s">
        <v>20</v>
      </c>
      <c r="J13" s="13" t="n">
        <f aca="false">C13*D13*F13*H13</f>
        <v>3750000</v>
      </c>
      <c r="K13" s="14" t="s">
        <v>36</v>
      </c>
    </row>
    <row r="14" customFormat="false" ht="28.35" hidden="false" customHeight="false" outlineLevel="0" collapsed="false">
      <c r="A14" s="11" t="n">
        <v>8</v>
      </c>
      <c r="B14" s="12" t="s">
        <v>37</v>
      </c>
      <c r="C14" s="13" t="n">
        <v>1500000</v>
      </c>
      <c r="D14" s="12" t="n">
        <v>1</v>
      </c>
      <c r="E14" s="12" t="s">
        <v>20</v>
      </c>
      <c r="F14" s="12" t="n">
        <v>1</v>
      </c>
      <c r="G14" s="12" t="s">
        <v>20</v>
      </c>
      <c r="H14" s="12" t="n">
        <v>1</v>
      </c>
      <c r="I14" s="12" t="s">
        <v>20</v>
      </c>
      <c r="J14" s="13" t="n">
        <f aca="false">C14*D14*F14*H14</f>
        <v>1500000</v>
      </c>
      <c r="K14" s="14" t="s">
        <v>38</v>
      </c>
    </row>
    <row r="15" customFormat="false" ht="15" hidden="false" customHeight="false" outlineLevel="0" collapsed="false">
      <c r="A15" s="9" t="s">
        <v>39</v>
      </c>
      <c r="B15" s="5" t="s">
        <v>40</v>
      </c>
      <c r="C15" s="10"/>
      <c r="D15" s="9"/>
      <c r="E15" s="9"/>
      <c r="F15" s="9"/>
      <c r="G15" s="9"/>
      <c r="H15" s="9"/>
      <c r="I15" s="9"/>
      <c r="J15" s="10"/>
    </row>
    <row r="16" customFormat="false" ht="15" hidden="false" customHeight="false" outlineLevel="0" collapsed="false">
      <c r="A16" s="11" t="n">
        <v>1</v>
      </c>
      <c r="B16" s="12" t="s">
        <v>41</v>
      </c>
      <c r="C16" s="13" t="n">
        <v>3750000</v>
      </c>
      <c r="D16" s="12" t="n">
        <v>3</v>
      </c>
      <c r="E16" s="12" t="s">
        <v>42</v>
      </c>
      <c r="F16" s="12" t="n">
        <v>1</v>
      </c>
      <c r="G16" s="12" t="s">
        <v>20</v>
      </c>
      <c r="H16" s="12" t="n">
        <v>1</v>
      </c>
      <c r="I16" s="12" t="s">
        <v>20</v>
      </c>
      <c r="J16" s="13" t="n">
        <f aca="false">C16*D16*F16*H16</f>
        <v>11250000</v>
      </c>
      <c r="K16" s="14" t="s">
        <v>43</v>
      </c>
    </row>
    <row r="17" customFormat="false" ht="28.35" hidden="false" customHeight="false" outlineLevel="0" collapsed="false">
      <c r="A17" s="11" t="n">
        <v>2</v>
      </c>
      <c r="B17" s="12" t="s">
        <v>44</v>
      </c>
      <c r="C17" s="13" t="n">
        <v>400000</v>
      </c>
      <c r="D17" s="12" t="n">
        <v>25</v>
      </c>
      <c r="E17" s="12" t="s">
        <v>42</v>
      </c>
      <c r="F17" s="12" t="n">
        <v>1</v>
      </c>
      <c r="G17" s="12" t="s">
        <v>20</v>
      </c>
      <c r="H17" s="12" t="n">
        <v>1</v>
      </c>
      <c r="I17" s="12" t="s">
        <v>20</v>
      </c>
      <c r="J17" s="13" t="n">
        <f aca="false">C17*D17*F17*H17</f>
        <v>10000000</v>
      </c>
      <c r="K17" s="14" t="s">
        <v>45</v>
      </c>
    </row>
    <row r="18" customFormat="false" ht="15" hidden="false" customHeight="false" outlineLevel="0" collapsed="false">
      <c r="A18" s="11" t="n">
        <v>3</v>
      </c>
      <c r="B18" s="12" t="s">
        <v>46</v>
      </c>
      <c r="C18" s="13" t="n">
        <v>50000</v>
      </c>
      <c r="D18" s="12" t="n">
        <v>25</v>
      </c>
      <c r="E18" s="12" t="s">
        <v>35</v>
      </c>
      <c r="F18" s="12" t="n">
        <v>1</v>
      </c>
      <c r="G18" s="12" t="s">
        <v>20</v>
      </c>
      <c r="H18" s="12" t="n">
        <v>1</v>
      </c>
      <c r="I18" s="12" t="s">
        <v>20</v>
      </c>
      <c r="J18" s="13" t="n">
        <f aca="false">C18*D18*F18*H18</f>
        <v>1250000</v>
      </c>
      <c r="K18" s="14" t="s">
        <v>47</v>
      </c>
    </row>
    <row r="19" customFormat="false" ht="15" hidden="false" customHeight="false" outlineLevel="0" collapsed="false">
      <c r="A19" s="11" t="n">
        <v>4</v>
      </c>
      <c r="B19" s="12" t="s">
        <v>48</v>
      </c>
      <c r="C19" s="13" t="n">
        <v>50000</v>
      </c>
      <c r="D19" s="12" t="n">
        <v>25</v>
      </c>
      <c r="E19" s="12" t="s">
        <v>35</v>
      </c>
      <c r="F19" s="12" t="n">
        <v>1</v>
      </c>
      <c r="G19" s="12" t="s">
        <v>20</v>
      </c>
      <c r="H19" s="12" t="n">
        <v>1</v>
      </c>
      <c r="I19" s="12" t="s">
        <v>20</v>
      </c>
      <c r="J19" s="13" t="n">
        <f aca="false">C19*D19*F19*H19</f>
        <v>1250000</v>
      </c>
      <c r="K19" s="14" t="s">
        <v>49</v>
      </c>
    </row>
    <row r="20" customFormat="false" ht="15" hidden="false" customHeight="false" outlineLevel="0" collapsed="false">
      <c r="A20" s="9" t="s">
        <v>50</v>
      </c>
      <c r="B20" s="5" t="s">
        <v>51</v>
      </c>
      <c r="C20" s="10"/>
      <c r="D20" s="9"/>
      <c r="E20" s="9"/>
      <c r="F20" s="9"/>
      <c r="G20" s="9"/>
      <c r="H20" s="9"/>
      <c r="I20" s="9"/>
      <c r="J20" s="10"/>
    </row>
    <row r="21" customFormat="false" ht="28.35" hidden="false" customHeight="false" outlineLevel="0" collapsed="false">
      <c r="A21" s="11" t="n">
        <v>1</v>
      </c>
      <c r="B21" s="12" t="s">
        <v>52</v>
      </c>
      <c r="C21" s="13" t="n">
        <v>300000</v>
      </c>
      <c r="D21" s="12" t="n">
        <v>25</v>
      </c>
      <c r="E21" s="12" t="s">
        <v>35</v>
      </c>
      <c r="F21" s="12" t="n">
        <v>1</v>
      </c>
      <c r="G21" s="12" t="s">
        <v>53</v>
      </c>
      <c r="H21" s="12" t="n">
        <v>1</v>
      </c>
      <c r="I21" s="12" t="s">
        <v>20</v>
      </c>
      <c r="J21" s="13" t="n">
        <f aca="false">C21*D21*F21*H21</f>
        <v>7500000</v>
      </c>
      <c r="K21" s="14" t="s">
        <v>54</v>
      </c>
    </row>
    <row r="22" customFormat="false" ht="28.35" hidden="false" customHeight="false" outlineLevel="0" collapsed="false">
      <c r="A22" s="11" t="n">
        <v>2</v>
      </c>
      <c r="B22" s="12" t="s">
        <v>55</v>
      </c>
      <c r="C22" s="13" t="n">
        <v>25000</v>
      </c>
      <c r="D22" s="12" t="n">
        <v>20</v>
      </c>
      <c r="E22" s="12" t="s">
        <v>56</v>
      </c>
      <c r="F22" s="12" t="n">
        <v>3</v>
      </c>
      <c r="G22" s="12" t="s">
        <v>53</v>
      </c>
      <c r="H22" s="12" t="n">
        <v>1</v>
      </c>
      <c r="I22" s="12" t="s">
        <v>20</v>
      </c>
      <c r="J22" s="13" t="n">
        <f aca="false">C22*D22*F22*H22</f>
        <v>1500000</v>
      </c>
      <c r="K22" s="14" t="s">
        <v>57</v>
      </c>
    </row>
    <row r="23" customFormat="false" ht="15" hidden="false" customHeight="false" outlineLevel="0" collapsed="false">
      <c r="A23" s="15" t="s">
        <v>58</v>
      </c>
      <c r="B23" s="15"/>
      <c r="C23" s="15"/>
      <c r="D23" s="15"/>
      <c r="E23" s="15"/>
      <c r="F23" s="15"/>
      <c r="G23" s="15"/>
      <c r="H23" s="15"/>
      <c r="I23" s="16"/>
      <c r="J23" s="17" t="n">
        <f aca="false">SUM(J6:J22)</f>
        <v>45400000</v>
      </c>
    </row>
    <row r="24" customFormat="false" ht="15" hidden="false" customHeight="false" outlineLevel="0" collapsed="false">
      <c r="A24" s="4" t="s">
        <v>59</v>
      </c>
      <c r="B24" s="5" t="s">
        <v>60</v>
      </c>
      <c r="C24" s="6"/>
      <c r="D24" s="7"/>
      <c r="E24" s="7"/>
      <c r="F24" s="7"/>
      <c r="G24" s="7"/>
      <c r="H24" s="7"/>
      <c r="I24" s="7"/>
      <c r="J24" s="8"/>
    </row>
    <row r="25" customFormat="false" ht="15" hidden="false" customHeight="false" outlineLevel="0" collapsed="false">
      <c r="A25" s="11" t="n">
        <v>1</v>
      </c>
      <c r="B25" s="12" t="s">
        <v>61</v>
      </c>
      <c r="C25" s="13" t="n">
        <v>45000</v>
      </c>
      <c r="D25" s="12" t="n">
        <v>31</v>
      </c>
      <c r="E25" s="12" t="s">
        <v>56</v>
      </c>
      <c r="F25" s="12" t="n">
        <v>4</v>
      </c>
      <c r="G25" s="12" t="s">
        <v>62</v>
      </c>
      <c r="H25" s="12" t="n">
        <v>1</v>
      </c>
      <c r="I25" s="12" t="s">
        <v>53</v>
      </c>
      <c r="J25" s="13" t="n">
        <f aca="false">C25*D25*F25*H25</f>
        <v>5580000</v>
      </c>
      <c r="K25" s="14" t="s">
        <v>63</v>
      </c>
    </row>
    <row r="26" customFormat="false" ht="15" hidden="false" customHeight="false" outlineLevel="0" collapsed="false">
      <c r="A26" s="11" t="n">
        <v>2</v>
      </c>
      <c r="B26" s="12" t="s">
        <v>64</v>
      </c>
      <c r="C26" s="13" t="n">
        <v>100000</v>
      </c>
      <c r="D26" s="12" t="n">
        <v>31</v>
      </c>
      <c r="E26" s="12" t="s">
        <v>56</v>
      </c>
      <c r="F26" s="12" t="n">
        <v>3</v>
      </c>
      <c r="G26" s="12" t="s">
        <v>65</v>
      </c>
      <c r="H26" s="12" t="n">
        <v>1</v>
      </c>
      <c r="I26" s="12" t="s">
        <v>53</v>
      </c>
      <c r="J26" s="13" t="n">
        <f aca="false">C26*D26*F26*H26</f>
        <v>9300000</v>
      </c>
      <c r="K26" s="14" t="s">
        <v>66</v>
      </c>
    </row>
    <row r="27" customFormat="false" ht="15" hidden="false" customHeight="false" outlineLevel="0" collapsed="false">
      <c r="A27" s="11" t="n">
        <v>3</v>
      </c>
      <c r="B27" s="12" t="s">
        <v>67</v>
      </c>
      <c r="C27" s="13" t="n">
        <v>25000</v>
      </c>
      <c r="D27" s="12" t="n">
        <v>31</v>
      </c>
      <c r="E27" s="12" t="s">
        <v>56</v>
      </c>
      <c r="F27" s="12" t="n">
        <v>3</v>
      </c>
      <c r="G27" s="12" t="s">
        <v>53</v>
      </c>
      <c r="H27" s="12" t="n">
        <v>1</v>
      </c>
      <c r="I27" s="12" t="s">
        <v>20</v>
      </c>
      <c r="J27" s="13" t="n">
        <f aca="false">C27*D27*F27*H27</f>
        <v>2325000</v>
      </c>
      <c r="K27" s="14" t="s">
        <v>68</v>
      </c>
    </row>
    <row r="28" customFormat="false" ht="15" hidden="false" customHeight="false" outlineLevel="0" collapsed="false">
      <c r="A28" s="11" t="n">
        <v>4</v>
      </c>
      <c r="B28" s="12" t="s">
        <v>69</v>
      </c>
      <c r="C28" s="13" t="n">
        <v>30000</v>
      </c>
      <c r="D28" s="12" t="n">
        <v>31</v>
      </c>
      <c r="E28" s="12" t="s">
        <v>56</v>
      </c>
      <c r="F28" s="12" t="n">
        <v>2</v>
      </c>
      <c r="G28" s="12" t="s">
        <v>62</v>
      </c>
      <c r="H28" s="12" t="n">
        <v>1</v>
      </c>
      <c r="I28" s="12" t="s">
        <v>20</v>
      </c>
      <c r="J28" s="13" t="n">
        <f aca="false">C28*D28*F28*H28</f>
        <v>1860000</v>
      </c>
      <c r="K28" s="14" t="s">
        <v>70</v>
      </c>
    </row>
    <row r="29" customFormat="false" ht="15" hidden="false" customHeight="false" outlineLevel="0" collapsed="false">
      <c r="A29" s="11" t="n">
        <v>5</v>
      </c>
      <c r="B29" s="12" t="s">
        <v>71</v>
      </c>
      <c r="C29" s="13" t="n">
        <v>300000</v>
      </c>
      <c r="D29" s="12" t="n">
        <v>1</v>
      </c>
      <c r="E29" s="12" t="s">
        <v>20</v>
      </c>
      <c r="F29" s="12" t="n">
        <v>4</v>
      </c>
      <c r="G29" s="12" t="s">
        <v>62</v>
      </c>
      <c r="H29" s="12" t="n">
        <v>1</v>
      </c>
      <c r="I29" s="12" t="s">
        <v>20</v>
      </c>
      <c r="J29" s="13" t="n">
        <f aca="false">C29*D29*F29*H29</f>
        <v>1200000</v>
      </c>
      <c r="K29" s="14" t="s">
        <v>72</v>
      </c>
    </row>
    <row r="30" customFormat="false" ht="28.35" hidden="false" customHeight="false" outlineLevel="0" collapsed="false">
      <c r="A30" s="11" t="n">
        <v>6</v>
      </c>
      <c r="B30" s="12" t="s">
        <v>73</v>
      </c>
      <c r="C30" s="13" t="n">
        <v>70000</v>
      </c>
      <c r="D30" s="12" t="n">
        <v>10</v>
      </c>
      <c r="E30" s="12" t="s">
        <v>56</v>
      </c>
      <c r="F30" s="12" t="n">
        <v>2</v>
      </c>
      <c r="G30" s="12" t="s">
        <v>62</v>
      </c>
      <c r="H30" s="12" t="n">
        <v>1</v>
      </c>
      <c r="I30" s="12" t="s">
        <v>20</v>
      </c>
      <c r="J30" s="13" t="n">
        <f aca="false">C30*D30*F30*H30</f>
        <v>1400000</v>
      </c>
      <c r="K30" s="14" t="s">
        <v>74</v>
      </c>
    </row>
    <row r="31" customFormat="false" ht="15" hidden="false" customHeight="false" outlineLevel="0" collapsed="false">
      <c r="A31" s="15" t="s">
        <v>75</v>
      </c>
      <c r="B31" s="15"/>
      <c r="C31" s="15"/>
      <c r="D31" s="15"/>
      <c r="E31" s="15"/>
      <c r="F31" s="15"/>
      <c r="G31" s="15"/>
      <c r="H31" s="15"/>
      <c r="I31" s="16"/>
      <c r="J31" s="17" t="n">
        <f aca="false">SUM(J25:J30)</f>
        <v>21665000</v>
      </c>
    </row>
    <row r="32" customFormat="false" ht="15" hidden="false" customHeight="false" outlineLevel="0" collapsed="false">
      <c r="A32" s="4" t="s">
        <v>76</v>
      </c>
      <c r="B32" s="5" t="s">
        <v>77</v>
      </c>
      <c r="C32" s="6"/>
      <c r="D32" s="7"/>
      <c r="E32" s="7"/>
      <c r="F32" s="7"/>
      <c r="G32" s="7"/>
      <c r="H32" s="7"/>
      <c r="I32" s="7"/>
      <c r="J32" s="8"/>
    </row>
    <row r="33" customFormat="false" ht="15" hidden="false" customHeight="false" outlineLevel="0" collapsed="false">
      <c r="A33" s="11" t="n">
        <v>1</v>
      </c>
      <c r="B33" s="12" t="s">
        <v>78</v>
      </c>
      <c r="C33" s="13" t="n">
        <v>100000</v>
      </c>
      <c r="D33" s="12" t="n">
        <v>1</v>
      </c>
      <c r="E33" s="12" t="s">
        <v>79</v>
      </c>
      <c r="F33" s="12" t="n">
        <v>1</v>
      </c>
      <c r="G33" s="12" t="s">
        <v>20</v>
      </c>
      <c r="H33" s="12" t="n">
        <v>1</v>
      </c>
      <c r="I33" s="12" t="s">
        <v>20</v>
      </c>
      <c r="J33" s="13" t="n">
        <f aca="false">C33*D33*F33*H33</f>
        <v>100000</v>
      </c>
      <c r="K33" s="14" t="s">
        <v>80</v>
      </c>
    </row>
    <row r="34" customFormat="false" ht="15" hidden="false" customHeight="false" outlineLevel="0" collapsed="false">
      <c r="A34" s="11" t="n">
        <v>2</v>
      </c>
      <c r="B34" s="12" t="s">
        <v>81</v>
      </c>
      <c r="C34" s="13" t="n">
        <v>100000</v>
      </c>
      <c r="D34" s="12" t="n">
        <v>14</v>
      </c>
      <c r="E34" s="12" t="s">
        <v>56</v>
      </c>
      <c r="F34" s="12" t="n">
        <v>1</v>
      </c>
      <c r="G34" s="12" t="s">
        <v>20</v>
      </c>
      <c r="H34" s="12" t="n">
        <v>1</v>
      </c>
      <c r="I34" s="12" t="s">
        <v>20</v>
      </c>
      <c r="J34" s="13" t="n">
        <f aca="false">C34*D34*F34*H34</f>
        <v>1400000</v>
      </c>
      <c r="K34" s="14" t="s">
        <v>82</v>
      </c>
    </row>
    <row r="35" customFormat="false" ht="28.35" hidden="false" customHeight="false" outlineLevel="0" collapsed="false">
      <c r="A35" s="11" t="n">
        <v>3</v>
      </c>
      <c r="B35" s="12" t="s">
        <v>83</v>
      </c>
      <c r="C35" s="13" t="n">
        <v>750000</v>
      </c>
      <c r="D35" s="12" t="n">
        <v>1</v>
      </c>
      <c r="E35" s="12" t="s">
        <v>20</v>
      </c>
      <c r="F35" s="12" t="n">
        <v>1</v>
      </c>
      <c r="G35" s="12" t="s">
        <v>20</v>
      </c>
      <c r="H35" s="12" t="n">
        <v>1</v>
      </c>
      <c r="I35" s="12" t="s">
        <v>20</v>
      </c>
      <c r="J35" s="13" t="n">
        <f aca="false">C35*D35*F35*H35</f>
        <v>750000</v>
      </c>
      <c r="K35" s="14"/>
    </row>
    <row r="36" customFormat="false" ht="15" hidden="false" customHeight="false" outlineLevel="0" collapsed="false">
      <c r="A36" s="11" t="n">
        <v>4</v>
      </c>
      <c r="B36" s="12" t="s">
        <v>84</v>
      </c>
      <c r="C36" s="13" t="n">
        <v>250000</v>
      </c>
      <c r="D36" s="12" t="n">
        <v>3</v>
      </c>
      <c r="E36" s="12" t="s">
        <v>85</v>
      </c>
      <c r="F36" s="12" t="n">
        <v>1</v>
      </c>
      <c r="G36" s="12" t="s">
        <v>20</v>
      </c>
      <c r="H36" s="12" t="n">
        <v>1</v>
      </c>
      <c r="I36" s="12" t="s">
        <v>20</v>
      </c>
      <c r="J36" s="13" t="n">
        <f aca="false">C36*D36*F36*H36</f>
        <v>750000</v>
      </c>
      <c r="K36" s="14" t="s">
        <v>86</v>
      </c>
    </row>
    <row r="37" customFormat="false" ht="28.35" hidden="false" customHeight="false" outlineLevel="0" collapsed="false">
      <c r="A37" s="11" t="n">
        <v>5</v>
      </c>
      <c r="B37" s="12" t="s">
        <v>87</v>
      </c>
      <c r="C37" s="13" t="n">
        <v>200000</v>
      </c>
      <c r="D37" s="12" t="n">
        <v>14</v>
      </c>
      <c r="E37" s="12" t="s">
        <v>56</v>
      </c>
      <c r="F37" s="12" t="n">
        <v>1</v>
      </c>
      <c r="G37" s="12" t="s">
        <v>20</v>
      </c>
      <c r="H37" s="12" t="n">
        <v>1</v>
      </c>
      <c r="I37" s="12" t="s">
        <v>20</v>
      </c>
      <c r="J37" s="13" t="n">
        <f aca="false">C37*D37*F37*H37</f>
        <v>2800000</v>
      </c>
      <c r="K37" s="14" t="s">
        <v>88</v>
      </c>
    </row>
    <row r="38" customFormat="false" ht="15" hidden="false" customHeight="false" outlineLevel="0" collapsed="false">
      <c r="A38" s="15" t="s">
        <v>89</v>
      </c>
      <c r="B38" s="15"/>
      <c r="C38" s="15"/>
      <c r="D38" s="15"/>
      <c r="E38" s="15"/>
      <c r="F38" s="15"/>
      <c r="G38" s="15"/>
      <c r="H38" s="15"/>
      <c r="I38" s="16"/>
      <c r="J38" s="17" t="n">
        <f aca="false">SUM(J33:J37)</f>
        <v>5800000</v>
      </c>
    </row>
    <row r="39" customFormat="false" ht="28.35" hidden="false" customHeight="false" outlineLevel="0" collapsed="false">
      <c r="A39" s="4" t="s">
        <v>90</v>
      </c>
      <c r="B39" s="5" t="s">
        <v>91</v>
      </c>
      <c r="C39" s="6"/>
      <c r="D39" s="7"/>
      <c r="E39" s="7"/>
      <c r="F39" s="7"/>
      <c r="G39" s="7"/>
      <c r="H39" s="7"/>
      <c r="I39" s="7"/>
      <c r="J39" s="8"/>
    </row>
    <row r="40" customFormat="false" ht="15" hidden="false" customHeight="false" outlineLevel="0" collapsed="false">
      <c r="A40" s="9" t="s">
        <v>92</v>
      </c>
      <c r="B40" s="5" t="s">
        <v>93</v>
      </c>
      <c r="C40" s="10"/>
      <c r="D40" s="9"/>
      <c r="E40" s="9"/>
      <c r="F40" s="9"/>
      <c r="G40" s="9"/>
      <c r="H40" s="9"/>
      <c r="I40" s="9"/>
      <c r="J40" s="10"/>
    </row>
    <row r="41" customFormat="false" ht="28.35" hidden="false" customHeight="false" outlineLevel="0" collapsed="false">
      <c r="A41" s="11" t="n">
        <v>1</v>
      </c>
      <c r="B41" s="12" t="s">
        <v>94</v>
      </c>
      <c r="C41" s="13" t="n">
        <v>1500000</v>
      </c>
      <c r="D41" s="12" t="n">
        <v>1</v>
      </c>
      <c r="E41" s="12" t="s">
        <v>42</v>
      </c>
      <c r="F41" s="12" t="n">
        <v>4</v>
      </c>
      <c r="G41" s="12" t="s">
        <v>62</v>
      </c>
      <c r="H41" s="12" t="n">
        <v>1</v>
      </c>
      <c r="I41" s="12" t="s">
        <v>20</v>
      </c>
      <c r="J41" s="13" t="n">
        <f aca="false">C41*D41*F41*H41</f>
        <v>6000000</v>
      </c>
      <c r="K41" s="14" t="s">
        <v>95</v>
      </c>
    </row>
    <row r="42" customFormat="false" ht="28.35" hidden="false" customHeight="false" outlineLevel="0" collapsed="false">
      <c r="A42" s="11" t="n">
        <v>2</v>
      </c>
      <c r="B42" s="12" t="s">
        <v>96</v>
      </c>
      <c r="C42" s="13" t="n">
        <v>1800000</v>
      </c>
      <c r="D42" s="12" t="n">
        <v>1</v>
      </c>
      <c r="E42" s="12" t="s">
        <v>42</v>
      </c>
      <c r="F42" s="12" t="n">
        <v>4</v>
      </c>
      <c r="G42" s="12" t="s">
        <v>62</v>
      </c>
      <c r="H42" s="12" t="n">
        <v>1</v>
      </c>
      <c r="I42" s="12" t="s">
        <v>20</v>
      </c>
      <c r="J42" s="13" t="n">
        <f aca="false">C42*D42*F42*H42</f>
        <v>7200000</v>
      </c>
      <c r="K42" s="14" t="s">
        <v>97</v>
      </c>
    </row>
    <row r="43" customFormat="false" ht="15" hidden="false" customHeight="false" outlineLevel="0" collapsed="false">
      <c r="A43" s="11" t="n">
        <v>3</v>
      </c>
      <c r="B43" s="12" t="s">
        <v>98</v>
      </c>
      <c r="C43" s="13" t="n">
        <v>500000</v>
      </c>
      <c r="D43" s="12" t="n">
        <v>2</v>
      </c>
      <c r="E43" s="12" t="s">
        <v>42</v>
      </c>
      <c r="F43" s="12" t="n">
        <v>4</v>
      </c>
      <c r="G43" s="12" t="s">
        <v>62</v>
      </c>
      <c r="H43" s="12" t="n">
        <v>1</v>
      </c>
      <c r="I43" s="12" t="s">
        <v>20</v>
      </c>
      <c r="J43" s="13" t="n">
        <f aca="false">C43*D43*F43*H43</f>
        <v>4000000</v>
      </c>
      <c r="K43" s="14"/>
    </row>
    <row r="44" customFormat="false" ht="15" hidden="false" customHeight="false" outlineLevel="0" collapsed="false">
      <c r="A44" s="11" t="n">
        <v>4</v>
      </c>
      <c r="B44" s="12" t="s">
        <v>99</v>
      </c>
      <c r="C44" s="13" t="n">
        <v>300000</v>
      </c>
      <c r="D44" s="12" t="n">
        <v>3</v>
      </c>
      <c r="E44" s="12" t="s">
        <v>42</v>
      </c>
      <c r="F44" s="12" t="n">
        <v>2</v>
      </c>
      <c r="G44" s="12" t="s">
        <v>62</v>
      </c>
      <c r="H44" s="12" t="n">
        <v>1</v>
      </c>
      <c r="I44" s="12" t="s">
        <v>20</v>
      </c>
      <c r="J44" s="13" t="n">
        <f aca="false">C44*D44*F44*H44</f>
        <v>1800000</v>
      </c>
      <c r="K44" s="14" t="s">
        <v>70</v>
      </c>
    </row>
    <row r="45" customFormat="false" ht="15" hidden="false" customHeight="false" outlineLevel="0" collapsed="false">
      <c r="A45" s="11" t="n">
        <v>5</v>
      </c>
      <c r="B45" s="12" t="s">
        <v>100</v>
      </c>
      <c r="C45" s="13" t="n">
        <v>150000</v>
      </c>
      <c r="D45" s="12" t="n">
        <v>1</v>
      </c>
      <c r="E45" s="12" t="s">
        <v>20</v>
      </c>
      <c r="F45" s="12" t="n">
        <v>4</v>
      </c>
      <c r="G45" s="12" t="s">
        <v>62</v>
      </c>
      <c r="H45" s="12" t="n">
        <v>1</v>
      </c>
      <c r="I45" s="12" t="s">
        <v>20</v>
      </c>
      <c r="J45" s="13" t="n">
        <f aca="false">C45*D45*F45*H45</f>
        <v>600000</v>
      </c>
      <c r="K45" s="14"/>
    </row>
    <row r="46" customFormat="false" ht="15" hidden="false" customHeight="false" outlineLevel="0" collapsed="false">
      <c r="A46" s="9" t="s">
        <v>101</v>
      </c>
      <c r="B46" s="5" t="s">
        <v>102</v>
      </c>
      <c r="C46" s="10"/>
      <c r="D46" s="9"/>
      <c r="E46" s="9"/>
      <c r="F46" s="9"/>
      <c r="G46" s="9"/>
      <c r="H46" s="9"/>
      <c r="I46" s="9"/>
      <c r="J46" s="10"/>
    </row>
    <row r="47" customFormat="false" ht="15" hidden="false" customHeight="false" outlineLevel="0" collapsed="false">
      <c r="A47" s="11" t="n">
        <v>1</v>
      </c>
      <c r="B47" s="12" t="s">
        <v>103</v>
      </c>
      <c r="C47" s="13" t="n">
        <v>150000</v>
      </c>
      <c r="D47" s="12" t="n">
        <v>14</v>
      </c>
      <c r="E47" s="12" t="s">
        <v>56</v>
      </c>
      <c r="F47" s="12" t="n">
        <v>4</v>
      </c>
      <c r="G47" s="12" t="s">
        <v>62</v>
      </c>
      <c r="H47" s="12" t="n">
        <v>1</v>
      </c>
      <c r="I47" s="12" t="s">
        <v>20</v>
      </c>
      <c r="J47" s="13" t="n">
        <f aca="false">C47*D47*F47*H47</f>
        <v>8400000</v>
      </c>
      <c r="K47" s="14" t="s">
        <v>104</v>
      </c>
    </row>
    <row r="48" customFormat="false" ht="15" hidden="false" customHeight="false" outlineLevel="0" collapsed="false">
      <c r="A48" s="11" t="n">
        <v>2</v>
      </c>
      <c r="B48" s="12" t="s">
        <v>105</v>
      </c>
      <c r="C48" s="13" t="n">
        <v>100000</v>
      </c>
      <c r="D48" s="12" t="n">
        <v>17</v>
      </c>
      <c r="E48" s="12" t="s">
        <v>56</v>
      </c>
      <c r="F48" s="12" t="n">
        <v>2</v>
      </c>
      <c r="G48" s="12" t="s">
        <v>62</v>
      </c>
      <c r="H48" s="12" t="n">
        <v>1</v>
      </c>
      <c r="I48" s="12" t="s">
        <v>20</v>
      </c>
      <c r="J48" s="13" t="n">
        <f aca="false">C48*D48*F48*H48</f>
        <v>3400000</v>
      </c>
      <c r="K48" s="14" t="s">
        <v>70</v>
      </c>
    </row>
    <row r="49" customFormat="false" ht="28.35" hidden="false" customHeight="false" outlineLevel="0" collapsed="false">
      <c r="A49" s="11" t="n">
        <v>3</v>
      </c>
      <c r="B49" s="12" t="s">
        <v>106</v>
      </c>
      <c r="C49" s="13" t="n">
        <v>150000</v>
      </c>
      <c r="D49" s="12" t="n">
        <v>10</v>
      </c>
      <c r="E49" s="12" t="s">
        <v>56</v>
      </c>
      <c r="F49" s="12" t="n">
        <v>2</v>
      </c>
      <c r="G49" s="12" t="s">
        <v>62</v>
      </c>
      <c r="H49" s="12" t="n">
        <v>1</v>
      </c>
      <c r="I49" s="12" t="s">
        <v>20</v>
      </c>
      <c r="J49" s="13" t="n">
        <f aca="false">C49*D49*F49*H49</f>
        <v>3000000</v>
      </c>
      <c r="K49" s="14" t="s">
        <v>107</v>
      </c>
    </row>
    <row r="50" customFormat="false" ht="15" hidden="false" customHeight="false" outlineLevel="0" collapsed="false">
      <c r="A50" s="15" t="s">
        <v>108</v>
      </c>
      <c r="B50" s="15"/>
      <c r="C50" s="15"/>
      <c r="D50" s="15"/>
      <c r="E50" s="15"/>
      <c r="F50" s="15"/>
      <c r="G50" s="15"/>
      <c r="H50" s="15"/>
      <c r="I50" s="16"/>
      <c r="J50" s="17" t="n">
        <f aca="false">SUM(J40:J49)</f>
        <v>34400000</v>
      </c>
    </row>
    <row r="51" customFormat="false" ht="15" hidden="false" customHeight="false" outlineLevel="0" collapsed="false">
      <c r="A51" s="18"/>
      <c r="B51" s="18" t="s">
        <v>109</v>
      </c>
      <c r="C51" s="19"/>
      <c r="D51" s="18"/>
      <c r="E51" s="18"/>
      <c r="F51" s="18"/>
      <c r="G51" s="18"/>
      <c r="H51" s="18"/>
      <c r="I51" s="18"/>
      <c r="J51" s="19" t="n">
        <f aca="false">J23+J31+J38+J50</f>
        <v>107265000</v>
      </c>
    </row>
    <row r="53" customFormat="false" ht="15" hidden="false" customHeight="false" outlineLevel="0" collapsed="false">
      <c r="B53" s="20" t="s">
        <v>110</v>
      </c>
    </row>
    <row r="54" customFormat="false" ht="15" hidden="false" customHeight="false" outlineLevel="0" collapsed="false">
      <c r="A54" s="11"/>
      <c r="B54" s="12" t="s">
        <v>111</v>
      </c>
      <c r="C54" s="13"/>
      <c r="D54" s="12"/>
      <c r="E54" s="12"/>
      <c r="F54" s="12"/>
      <c r="G54" s="12"/>
      <c r="H54" s="12"/>
      <c r="I54" s="12"/>
      <c r="J54" s="13" t="n">
        <f aca="false">J23</f>
        <v>45400000</v>
      </c>
      <c r="K54" s="21"/>
    </row>
    <row r="55" customFormat="false" ht="15" hidden="false" customHeight="false" outlineLevel="0" collapsed="false">
      <c r="A55" s="11"/>
      <c r="B55" s="12" t="s">
        <v>112</v>
      </c>
      <c r="C55" s="13"/>
      <c r="D55" s="12"/>
      <c r="E55" s="12"/>
      <c r="F55" s="12"/>
      <c r="G55" s="12"/>
      <c r="H55" s="12"/>
      <c r="I55" s="12"/>
      <c r="J55" s="13" t="n">
        <f aca="false">J31+J38+J50</f>
        <v>61865000</v>
      </c>
      <c r="K55" s="21"/>
    </row>
    <row r="56" customFormat="false" ht="15" hidden="false" customHeight="false" outlineLevel="0" collapsed="false">
      <c r="A56" s="11"/>
      <c r="B56" s="12" t="s">
        <v>113</v>
      </c>
      <c r="C56" s="13"/>
      <c r="D56" s="12"/>
      <c r="E56" s="12"/>
      <c r="F56" s="12"/>
      <c r="G56" s="12"/>
      <c r="H56" s="12"/>
      <c r="I56" s="12"/>
      <c r="J56" s="13" t="n">
        <f aca="false">J51</f>
        <v>107265000</v>
      </c>
      <c r="K56" s="21"/>
    </row>
    <row r="58" customFormat="false" ht="15" hidden="false" customHeight="false" outlineLevel="0" collapsed="false">
      <c r="B58" s="20" t="s">
        <v>114</v>
      </c>
    </row>
    <row r="59" customFormat="false" ht="15" hidden="false" customHeight="false" outlineLevel="0" collapsed="false">
      <c r="B59" s="22" t="s">
        <v>115</v>
      </c>
    </row>
    <row r="60" customFormat="false" ht="15" hidden="false" customHeight="false" outlineLevel="0" collapsed="false">
      <c r="B60" s="22" t="s">
        <v>116</v>
      </c>
    </row>
    <row r="61" customFormat="false" ht="15" hidden="false" customHeight="false" outlineLevel="0" collapsed="false">
      <c r="B61" s="22" t="s">
        <v>117</v>
      </c>
    </row>
    <row r="62" customFormat="false" ht="15" hidden="false" customHeight="false" outlineLevel="0" collapsed="false">
      <c r="B62" s="22" t="s">
        <v>118</v>
      </c>
    </row>
  </sheetData>
  <mergeCells count="7">
    <mergeCell ref="A1:J1"/>
    <mergeCell ref="A2:J2"/>
    <mergeCell ref="A3:J3"/>
    <mergeCell ref="A23:H23"/>
    <mergeCell ref="A31:H31"/>
    <mergeCell ref="A38:H38"/>
    <mergeCell ref="A50:H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2026-08-20T06:15:50Z</dcterms:created>
  <dc:creator>LENOVO</dc:creator>
  <dc:description/>
  <dc:language>en-US</dc:language>
  <cp:lastModifiedBy>Lenovo</cp:lastModifiedBy>
  <cp:lastPrinted>2026-09-21T07:14:46Z</cp:lastPrinted>
  <dcterms:modified xsi:type="dcterms:W3CDTF">2026-10-20T11:18:22Z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