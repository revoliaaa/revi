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 Mock Up Audit DKP" sheetId="1" state="visible" r:id="rId3"/>
  </sheets>
  <definedNames>
    <definedName function="false" hidden="false" localSheetId="0" name="_xlnm.Print_Titles" vbProcedure="false">'RAB Mock Up Audit DKP'!$4:$4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<sst xmlns="http://schemas.openxmlformats.org/spreadsheetml/2006/main" count="81" uniqueCount="72">
  <si>
    <t xml:space="preserve">Usulan Anggaran Kegiatan Mock Up Audit (Mock Assessment) Validasi PDD &amp; Verifikasi MR Delta Kapuas Project – Standar Verra</t>
  </si>
  <si>
    <t xml:space="preserve">Pelaksanaan 9 – 12 November 2026 (persiapan 21 Oktober – 6 November 2026), Kantor SAMPAN, Kampung Baru dan Ambawang, Kubu Raya</t>
  </si>
  <si>
    <t xml:space="preserve">No</t>
  </si>
  <si>
    <t xml:space="preserve">Item</t>
  </si>
  <si>
    <t xml:space="preserve">Harga / Unit</t>
  </si>
  <si>
    <t xml:space="preserve">Kuantitas</t>
  </si>
  <si>
    <t xml:space="preserve">Satuan</t>
  </si>
  <si>
    <t xml:space="preserve">Jumlah</t>
  </si>
  <si>
    <t xml:space="preserve">Keterangan</t>
  </si>
  <si>
    <t xml:space="preserve">A</t>
  </si>
  <si>
    <t xml:space="preserve">Persiapan Mock Up Audit</t>
  </si>
  <si>
    <t xml:space="preserve">A.1</t>
  </si>
  <si>
    <t xml:space="preserve">Sarana Penyimpanan Arsip</t>
  </si>
  <si>
    <t xml:space="preserve">Lemari arsip besi</t>
  </si>
  <si>
    <t xml:space="preserve">Unit</t>
  </si>
  <si>
    <t xml:space="preserve">Penyimpanan arsip PDD-MR di Kantor SAMPAN</t>
  </si>
  <si>
    <t xml:space="preserve">Drybox penyimpanan berkas desa (kontainer kedap air ±50 L)</t>
  </si>
  <si>
    <t xml:space="preserve">1 unit per desa, melindungi berkas dari lembap/air</t>
  </si>
  <si>
    <t xml:space="preserve">A.2</t>
  </si>
  <si>
    <t xml:space="preserve">Kelengkapan</t>
  </si>
  <si>
    <t xml:space="preserve">Kotak P3K &amp; obat-obatan lapangan</t>
  </si>
  <si>
    <t xml:space="preserve">Paket</t>
  </si>
  <si>
    <t xml:space="preserve">Untuk masing-masing desa + 1 di Kantor SAMPAN</t>
  </si>
  <si>
    <t xml:space="preserve">Pembuatan Kotak Saran di Kantor SAMAPAN</t>
  </si>
  <si>
    <t xml:space="preserve">Print A2 Alur GRM (25 desa x 5 eksemplar)</t>
  </si>
  <si>
    <t xml:space="preserve">Eksemplar</t>
  </si>
  <si>
    <t xml:space="preserve">B</t>
  </si>
  <si>
    <t xml:space="preserve">Konsumsi Pelaksanaan</t>
  </si>
  <si>
    <t xml:space="preserve">Makan siang (kantor &amp; lapangan) (45 orang x 4 hari)</t>
  </si>
  <si>
    <t xml:space="preserve">Orang Hari</t>
  </si>
  <si>
    <t xml:space="preserve">9–12 Nov; 14 tamu (3 auditor, 10 WAS, 1 expert) + 17 tim DKP</t>
  </si>
  <si>
    <t xml:space="preserve">Makan malam bersama (45 orang x 3 malam)</t>
  </si>
  <si>
    <t xml:space="preserve">Orang Malam</t>
  </si>
  <si>
    <t xml:space="preserve">9, 10, 11 Nov</t>
  </si>
  <si>
    <t xml:space="preserve">Snack / coffee break kantor (45 orang x 3 kali)</t>
  </si>
  <si>
    <t xml:space="preserve">Orang Kali</t>
  </si>
  <si>
    <t xml:space="preserve">9 Nov (pagi &amp; sore), 12 Nov (pagi)</t>
  </si>
  <si>
    <t xml:space="preserve">Snack &amp; air mineral lapangan (45 orang x 2 hari)</t>
  </si>
  <si>
    <t xml:space="preserve">Field visit 10–11 Nov</t>
  </si>
  <si>
    <t xml:space="preserve">Air mineral galon, kopi, teh, gula</t>
  </si>
  <si>
    <t xml:space="preserve">Hari</t>
  </si>
  <si>
    <t xml:space="preserve">Kantor SAMPAN</t>
  </si>
  <si>
    <t xml:space="preserve">Konsumsi perwakilan masyarakat/kelompok (makan + snack) (20 orang x 2 hari)</t>
  </si>
  <si>
    <t xml:space="preserve">Informan lapangan (10/desa)</t>
  </si>
  <si>
    <t xml:space="preserve">C</t>
  </si>
  <si>
    <t xml:space="preserve">Transportasi, Uang Harian dan Transport Pengganti</t>
  </si>
  <si>
    <t xml:space="preserve">C.1</t>
  </si>
  <si>
    <t xml:space="preserve">Transportasi Lokal</t>
  </si>
  <si>
    <t xml:space="preserve">Sewa Toyota Hi-Ace + driver</t>
  </si>
  <si>
    <t xml:space="preserve">Alternatif 1 itinerary (Hi-Ace + Fortuner), termasuk jemput/antar Bandara Supadio</t>
  </si>
  <si>
    <t xml:space="preserve">Sewa Toyota Innova</t>
  </si>
  <si>
    <t xml:space="preserve">Pasangan Hi-Ace (Alternatif 1). Alternatif 2: Fortuner 1 + Innova 2. PIC: Rofik</t>
  </si>
  <si>
    <t xml:space="preserve">BBM kendaraan sewa (2 unit x 4 hari)</t>
  </si>
  <si>
    <t xml:space="preserve">Unit Hari</t>
  </si>
  <si>
    <t xml:space="preserve">BBM kendaraan operasional tim DKP ke lapangan (3 unit x 2 hari)</t>
  </si>
  <si>
    <t xml:space="preserve">Penyebrangan (3 unit x 6 kali)</t>
  </si>
  <si>
    <t xml:space="preserve">Unit Kali</t>
  </si>
  <si>
    <t xml:space="preserve">Total</t>
  </si>
  <si>
    <t xml:space="preserve">Rekapitulasi</t>
  </si>
  <si>
    <t xml:space="preserve">Tahap Persiapan (A)</t>
  </si>
  <si>
    <t xml:space="preserve">Tahap Pelaksanaan 9–12 Nov 2026 (B + C)</t>
  </si>
  <si>
    <t xml:space="preserve">Catatan:</t>
  </si>
  <si>
    <t xml:space="preserve">1. Jumlah peserta: 3 auditor, 10 WAS, 1 expert (14 tamu) dan 17 tim DKP SAMPAN.</t>
  </si>
  <si>
    <t xml:space="preserve">Dibuat oleh,</t>
  </si>
  <si>
    <t xml:space="preserve">Diperiksa oleh,</t>
  </si>
  <si>
    <t xml:space="preserve">Disetujui Oleh,</t>
  </si>
  <si>
    <t xml:space="preserve">Revolia Az-Zahra</t>
  </si>
  <si>
    <t xml:space="preserve">Novia Patricia</t>
  </si>
  <si>
    <t xml:space="preserve">Eko Cahyono</t>
  </si>
  <si>
    <t xml:space="preserve">MRV &amp; Document Control</t>
  </si>
  <si>
    <t xml:space="preserve">Manager Keuangan</t>
  </si>
  <si>
    <t xml:space="preserve">Manajer Umum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</si>
</sst>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i val="true"/>
      <sz val="11"/>
      <name val="Calibri"/>
      <family val="0"/>
      <charset val="1"/>
    </font>
    <font>
      <sz val="12"/>
      <name val="Times New Roman"/>
      <family val="0"/>
      <charset val="1"/>
    </font>
    <font>
      <b val="true"/>
      <sz val="12"/>
      <name val="Times New Roman"/>
      <family val="0"/>
      <charset val="1"/>
    </font>
    <font>
      <u val="single"/>
      <sz val="12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99CCFF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FFFCC"/>
      </patternFill>
    </fill>
    <fill>
      <patternFill patternType="solid">
        <fgColor rgb="FFF8CBA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30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customFormat="false" ht="15" hidden="false" customHeight="false" outlineLevel="0" collapsed="false">
      <c r="A5" s="3" t="s">
        <v>9</v>
      </c>
      <c r="B5" s="4" t="s">
        <v>10</v>
      </c>
      <c r="C5" s="5"/>
      <c r="D5" s="3"/>
      <c r="E5" s="3"/>
      <c r="F5" s="5" t="n">
        <f aca="false">F6+F9</f>
        <v>35775000</v>
      </c>
      <c r="G5" s="4"/>
    </row>
    <row r="6" customFormat="false" ht="15" hidden="false" customHeight="false" outlineLevel="0" collapsed="false">
      <c r="A6" s="6" t="s">
        <v>11</v>
      </c>
      <c r="B6" s="7" t="s">
        <v>12</v>
      </c>
      <c r="C6" s="8"/>
      <c r="D6" s="6"/>
      <c r="E6" s="6"/>
      <c r="F6" s="8" t="n">
        <f aca="false">SUM(F7:F8)</f>
        <v>26000000</v>
      </c>
      <c r="G6" s="7"/>
    </row>
    <row r="7" customFormat="false" ht="15" hidden="false" customHeight="false" outlineLevel="0" collapsed="false">
      <c r="A7" s="9" t="n">
        <v>1</v>
      </c>
      <c r="B7" s="10" t="s">
        <v>13</v>
      </c>
      <c r="C7" s="11" t="n">
        <v>4000000</v>
      </c>
      <c r="D7" s="9" t="n">
        <v>4</v>
      </c>
      <c r="E7" s="9" t="s">
        <v>14</v>
      </c>
      <c r="F7" s="11" t="n">
        <f aca="false">C7*D7</f>
        <v>16000000</v>
      </c>
      <c r="G7" s="10" t="s">
        <v>15</v>
      </c>
    </row>
    <row r="8" customFormat="false" ht="28.35" hidden="false" customHeight="false" outlineLevel="0" collapsed="false">
      <c r="A8" s="9" t="n">
        <v>2</v>
      </c>
      <c r="B8" s="10" t="s">
        <v>16</v>
      </c>
      <c r="C8" s="11" t="n">
        <v>400000</v>
      </c>
      <c r="D8" s="9" t="n">
        <v>25</v>
      </c>
      <c r="E8" s="9" t="s">
        <v>14</v>
      </c>
      <c r="F8" s="11" t="n">
        <f aca="false">C8*D8</f>
        <v>10000000</v>
      </c>
      <c r="G8" s="10" t="s">
        <v>17</v>
      </c>
    </row>
    <row r="9" customFormat="false" ht="15" hidden="false" customHeight="false" outlineLevel="0" collapsed="false">
      <c r="A9" s="6" t="s">
        <v>18</v>
      </c>
      <c r="B9" s="7" t="s">
        <v>19</v>
      </c>
      <c r="C9" s="8"/>
      <c r="D9" s="6"/>
      <c r="E9" s="6"/>
      <c r="F9" s="8" t="n">
        <f aca="false">SUM(F10:F12)</f>
        <v>9775000</v>
      </c>
      <c r="G9" s="7"/>
    </row>
    <row r="10" customFormat="false" ht="15" hidden="false" customHeight="false" outlineLevel="0" collapsed="false">
      <c r="A10" s="9" t="n">
        <v>1</v>
      </c>
      <c r="B10" s="10" t="s">
        <v>20</v>
      </c>
      <c r="C10" s="11" t="n">
        <v>300000</v>
      </c>
      <c r="D10" s="9" t="n">
        <v>26</v>
      </c>
      <c r="E10" s="9" t="s">
        <v>21</v>
      </c>
      <c r="F10" s="11" t="n">
        <f aca="false">C10*D10</f>
        <v>7800000</v>
      </c>
      <c r="G10" s="10" t="s">
        <v>22</v>
      </c>
    </row>
    <row r="11" customFormat="false" ht="15" hidden="false" customHeight="false" outlineLevel="0" collapsed="false">
      <c r="A11" s="9" t="n">
        <v>2</v>
      </c>
      <c r="B11" s="10" t="s">
        <v>23</v>
      </c>
      <c r="C11" s="11" t="n">
        <v>100000</v>
      </c>
      <c r="D11" s="9" t="n">
        <v>1</v>
      </c>
      <c r="E11" s="9" t="s">
        <v>14</v>
      </c>
      <c r="F11" s="11" t="n">
        <f aca="false">C11*D11</f>
        <v>100000</v>
      </c>
      <c r="G11" s="10"/>
    </row>
    <row r="12" customFormat="false" ht="15" hidden="false" customHeight="false" outlineLevel="0" collapsed="false">
      <c r="A12" s="9" t="n">
        <v>3</v>
      </c>
      <c r="B12" s="10" t="s">
        <v>24</v>
      </c>
      <c r="C12" s="11" t="n">
        <v>15000</v>
      </c>
      <c r="D12" s="9" t="n">
        <f aca="false">25*5</f>
        <v>125</v>
      </c>
      <c r="E12" s="9" t="s">
        <v>25</v>
      </c>
      <c r="F12" s="11" t="n">
        <f aca="false">C12*D12</f>
        <v>1875000</v>
      </c>
      <c r="G12" s="10"/>
    </row>
    <row r="13" customFormat="false" ht="15" hidden="false" customHeight="false" outlineLevel="0" collapsed="false">
      <c r="A13" s="3" t="s">
        <v>26</v>
      </c>
      <c r="B13" s="4" t="s">
        <v>27</v>
      </c>
      <c r="C13" s="5"/>
      <c r="D13" s="3"/>
      <c r="E13" s="3"/>
      <c r="F13" s="5" t="n">
        <f aca="false">SUM(F14:F19)</f>
        <v>34350000</v>
      </c>
      <c r="G13" s="4"/>
    </row>
    <row r="14" customFormat="false" ht="28.35" hidden="false" customHeight="false" outlineLevel="0" collapsed="false">
      <c r="A14" s="9" t="n">
        <v>1</v>
      </c>
      <c r="B14" s="10" t="s">
        <v>28</v>
      </c>
      <c r="C14" s="11" t="n">
        <v>75000</v>
      </c>
      <c r="D14" s="9" t="n">
        <f aca="false">45*4</f>
        <v>180</v>
      </c>
      <c r="E14" s="9" t="s">
        <v>29</v>
      </c>
      <c r="F14" s="11" t="n">
        <f aca="false">C14*D14</f>
        <v>13500000</v>
      </c>
      <c r="G14" s="10" t="s">
        <v>30</v>
      </c>
    </row>
    <row r="15" customFormat="false" ht="15" hidden="false" customHeight="false" outlineLevel="0" collapsed="false">
      <c r="A15" s="9" t="n">
        <v>2</v>
      </c>
      <c r="B15" s="10" t="s">
        <v>31</v>
      </c>
      <c r="C15" s="11" t="n">
        <v>75000</v>
      </c>
      <c r="D15" s="9" t="n">
        <f aca="false">45*3</f>
        <v>135</v>
      </c>
      <c r="E15" s="9" t="s">
        <v>32</v>
      </c>
      <c r="F15" s="11" t="n">
        <f aca="false">C15*D15</f>
        <v>10125000</v>
      </c>
      <c r="G15" s="10" t="s">
        <v>33</v>
      </c>
    </row>
    <row r="16" customFormat="false" ht="15" hidden="false" customHeight="false" outlineLevel="0" collapsed="false">
      <c r="A16" s="9" t="n">
        <v>3</v>
      </c>
      <c r="B16" s="10" t="s">
        <v>34</v>
      </c>
      <c r="C16" s="11" t="n">
        <v>25000</v>
      </c>
      <c r="D16" s="9" t="n">
        <f aca="false">45*3</f>
        <v>135</v>
      </c>
      <c r="E16" s="9" t="s">
        <v>35</v>
      </c>
      <c r="F16" s="11" t="n">
        <f aca="false">C16*D16</f>
        <v>3375000</v>
      </c>
      <c r="G16" s="10" t="s">
        <v>36</v>
      </c>
    </row>
    <row r="17" customFormat="false" ht="15" hidden="false" customHeight="false" outlineLevel="0" collapsed="false">
      <c r="A17" s="9" t="n">
        <v>4</v>
      </c>
      <c r="B17" s="10" t="s">
        <v>37</v>
      </c>
      <c r="C17" s="11" t="n">
        <v>35000</v>
      </c>
      <c r="D17" s="9" t="n">
        <f aca="false">45*2</f>
        <v>90</v>
      </c>
      <c r="E17" s="9" t="s">
        <v>29</v>
      </c>
      <c r="F17" s="11" t="n">
        <f aca="false">C17*D17</f>
        <v>3150000</v>
      </c>
      <c r="G17" s="10" t="s">
        <v>38</v>
      </c>
    </row>
    <row r="18" customFormat="false" ht="15" hidden="false" customHeight="false" outlineLevel="0" collapsed="false">
      <c r="A18" s="9" t="n">
        <v>5</v>
      </c>
      <c r="B18" s="10" t="s">
        <v>39</v>
      </c>
      <c r="C18" s="11" t="n">
        <v>300000</v>
      </c>
      <c r="D18" s="9" t="n">
        <v>4</v>
      </c>
      <c r="E18" s="9" t="s">
        <v>40</v>
      </c>
      <c r="F18" s="11" t="n">
        <f aca="false">C18*D18</f>
        <v>1200000</v>
      </c>
      <c r="G18" s="10" t="s">
        <v>41</v>
      </c>
    </row>
    <row r="19" customFormat="false" ht="28.35" hidden="false" customHeight="false" outlineLevel="0" collapsed="false">
      <c r="A19" s="9" t="n">
        <v>6</v>
      </c>
      <c r="B19" s="10" t="s">
        <v>42</v>
      </c>
      <c r="C19" s="11" t="n">
        <v>75000</v>
      </c>
      <c r="D19" s="9" t="n">
        <f aca="false">20*2</f>
        <v>40</v>
      </c>
      <c r="E19" s="9" t="s">
        <v>29</v>
      </c>
      <c r="F19" s="11" t="n">
        <f aca="false">C19*D19</f>
        <v>3000000</v>
      </c>
      <c r="G19" s="10" t="s">
        <v>43</v>
      </c>
    </row>
    <row r="20" customFormat="false" ht="15" hidden="false" customHeight="false" outlineLevel="0" collapsed="false">
      <c r="A20" s="3" t="s">
        <v>44</v>
      </c>
      <c r="B20" s="4" t="s">
        <v>45</v>
      </c>
      <c r="C20" s="5"/>
      <c r="D20" s="3"/>
      <c r="E20" s="3"/>
      <c r="F20" s="5" t="n">
        <f aca="false">F21</f>
        <v>33900000</v>
      </c>
      <c r="G20" s="4"/>
    </row>
    <row r="21" customFormat="false" ht="15" hidden="false" customHeight="false" outlineLevel="0" collapsed="false">
      <c r="A21" s="6" t="s">
        <v>46</v>
      </c>
      <c r="B21" s="7" t="s">
        <v>47</v>
      </c>
      <c r="C21" s="8"/>
      <c r="D21" s="6"/>
      <c r="E21" s="6"/>
      <c r="F21" s="8" t="n">
        <f aca="false">SUM(F22:F26)</f>
        <v>33900000</v>
      </c>
      <c r="G21" s="7"/>
    </row>
    <row r="22" customFormat="false" ht="28.35" hidden="false" customHeight="false" outlineLevel="0" collapsed="false">
      <c r="A22" s="9" t="n">
        <v>1</v>
      </c>
      <c r="B22" s="10" t="s">
        <v>48</v>
      </c>
      <c r="C22" s="11" t="n">
        <v>2500000</v>
      </c>
      <c r="D22" s="9" t="n">
        <v>4</v>
      </c>
      <c r="E22" s="9" t="s">
        <v>40</v>
      </c>
      <c r="F22" s="11" t="n">
        <f aca="false">C22*D22</f>
        <v>10000000</v>
      </c>
      <c r="G22" s="10" t="s">
        <v>49</v>
      </c>
    </row>
    <row r="23" customFormat="false" ht="28.35" hidden="false" customHeight="false" outlineLevel="0" collapsed="false">
      <c r="A23" s="9" t="n">
        <v>2</v>
      </c>
      <c r="B23" s="10" t="s">
        <v>50</v>
      </c>
      <c r="C23" s="11" t="n">
        <v>1800000</v>
      </c>
      <c r="D23" s="9" t="n">
        <v>4</v>
      </c>
      <c r="E23" s="9" t="s">
        <v>40</v>
      </c>
      <c r="F23" s="11" t="n">
        <f aca="false">C23*D23</f>
        <v>7200000</v>
      </c>
      <c r="G23" s="10" t="s">
        <v>51</v>
      </c>
    </row>
    <row r="24" customFormat="false" ht="15" hidden="false" customHeight="false" outlineLevel="0" collapsed="false">
      <c r="A24" s="9" t="n">
        <v>3</v>
      </c>
      <c r="B24" s="10" t="s">
        <v>52</v>
      </c>
      <c r="C24" s="11" t="n">
        <v>1000000</v>
      </c>
      <c r="D24" s="9" t="n">
        <f aca="false">2*4</f>
        <v>8</v>
      </c>
      <c r="E24" s="9" t="s">
        <v>53</v>
      </c>
      <c r="F24" s="11" t="n">
        <f aca="false">C24*D24</f>
        <v>8000000</v>
      </c>
      <c r="G24" s="10"/>
    </row>
    <row r="25" customFormat="false" ht="28.35" hidden="false" customHeight="false" outlineLevel="0" collapsed="false">
      <c r="A25" s="9" t="n">
        <v>4</v>
      </c>
      <c r="B25" s="10" t="s">
        <v>54</v>
      </c>
      <c r="C25" s="11" t="n">
        <v>1000000</v>
      </c>
      <c r="D25" s="9" t="n">
        <f aca="false">3*2</f>
        <v>6</v>
      </c>
      <c r="E25" s="9" t="s">
        <v>53</v>
      </c>
      <c r="F25" s="11" t="n">
        <f aca="false">C25*D25</f>
        <v>6000000</v>
      </c>
      <c r="G25" s="10" t="s">
        <v>38</v>
      </c>
    </row>
    <row r="26" customFormat="false" ht="15" hidden="false" customHeight="false" outlineLevel="0" collapsed="false">
      <c r="A26" s="9" t="n">
        <v>5</v>
      </c>
      <c r="B26" s="10" t="s">
        <v>55</v>
      </c>
      <c r="C26" s="11" t="n">
        <v>150000</v>
      </c>
      <c r="D26" s="9" t="n">
        <f aca="false">3*6</f>
        <v>18</v>
      </c>
      <c r="E26" s="9" t="s">
        <v>56</v>
      </c>
      <c r="F26" s="11" t="n">
        <f aca="false">C26*D26</f>
        <v>2700000</v>
      </c>
      <c r="G26" s="10"/>
    </row>
    <row r="27" customFormat="false" ht="15" hidden="false" customHeight="false" outlineLevel="0" collapsed="false">
      <c r="A27" s="12"/>
      <c r="B27" s="13" t="s">
        <v>57</v>
      </c>
      <c r="C27" s="14"/>
      <c r="D27" s="12"/>
      <c r="E27" s="12"/>
      <c r="F27" s="14" t="n">
        <f aca="false">F5+F13+F20</f>
        <v>104025000</v>
      </c>
      <c r="G27" s="15"/>
    </row>
    <row r="29" customFormat="false" ht="15" hidden="false" customHeight="false" outlineLevel="0" collapsed="false">
      <c r="B29" s="16" t="s">
        <v>58</v>
      </c>
    </row>
    <row r="30" customFormat="false" ht="15" hidden="false" customHeight="false" outlineLevel="0" collapsed="false">
      <c r="B30" s="17" t="s">
        <v>59</v>
      </c>
      <c r="F30" s="18" t="n">
        <f aca="false">F5</f>
        <v>35775000</v>
      </c>
    </row>
    <row r="31" customFormat="false" ht="15" hidden="false" customHeight="false" outlineLevel="0" collapsed="false">
      <c r="B31" s="17" t="s">
        <v>60</v>
      </c>
      <c r="F31" s="18" t="n">
        <f aca="false">F13+F20</f>
        <v>68250000</v>
      </c>
    </row>
    <row r="32" customFormat="false" ht="15" hidden="false" customHeight="false" outlineLevel="0" collapsed="false">
      <c r="B32" s="16" t="s">
        <v>57</v>
      </c>
      <c r="F32" s="19" t="n">
        <f aca="false">F27</f>
        <v>104025000</v>
      </c>
    </row>
    <row r="34" customFormat="false" ht="15" hidden="false" customHeight="false" outlineLevel="0" collapsed="false">
      <c r="B34" s="16" t="s">
        <v>61</v>
      </c>
    </row>
    <row r="35" customFormat="false" ht="15" hidden="false" customHeight="false" outlineLevel="0" collapsed="false">
      <c r="B35" s="17" t="s">
        <v>62</v>
      </c>
    </row>
    <row r="38" customFormat="false" ht="15" hidden="false" customHeight="false" outlineLevel="0" collapsed="false">
      <c r="B38" s="20" t="s">
        <v>63</v>
      </c>
      <c r="C38" s="21" t="s">
        <v>64</v>
      </c>
      <c r="D38" s="21"/>
      <c r="E38" s="21"/>
      <c r="G38" s="22" t="s">
        <v>65</v>
      </c>
    </row>
    <row r="42" customFormat="false" ht="15" hidden="false" customHeight="false" outlineLevel="0" collapsed="false">
      <c r="B42" s="23" t="s">
        <v>66</v>
      </c>
      <c r="C42" s="24" t="s">
        <v>67</v>
      </c>
      <c r="D42" s="24"/>
      <c r="E42" s="24"/>
      <c r="G42" s="25" t="s">
        <v>68</v>
      </c>
    </row>
    <row r="43" customFormat="false" ht="15" hidden="false" customHeight="false" outlineLevel="0" collapsed="false">
      <c r="B43" s="26" t="s">
        <v>69</v>
      </c>
      <c r="C43" s="27" t="s">
        <v>70</v>
      </c>
      <c r="D43" s="27"/>
      <c r="E43" s="27"/>
      <c r="G43" s="28" t="s">
        <v>71</v>
      </c>
    </row>
  </sheetData>
  <mergeCells count="3">
    <mergeCell ref="C38:E38"/>
    <mergeCell ref="C42:E42"/>
    <mergeCell ref="C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2026-10-21T06:37:47Z</dcterms:created>
  <dc:creator>openpyxl</dc:creator>
  <dc:description/>
  <dc:language>en-US</dc:language>
  <cp:lastModifiedBy/>
  <dcterms:modified xsi:type="dcterms:W3CDTF">2026-10-21T06:37:47Z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